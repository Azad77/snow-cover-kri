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2" activeTab="7"/>
  </bookViews>
  <sheets>
    <sheet name="S.Area" sheetId="1" r:id="rId1"/>
    <sheet name="S.line" sheetId="2" r:id="rId2"/>
    <sheet name="SDI" sheetId="3" r:id="rId3"/>
    <sheet name="SCV" sheetId="4" r:id="rId4"/>
    <sheet name="1+2 ستونی" sheetId="6" r:id="rId5"/>
    <sheet name="مانگانه‌" sheetId="7" r:id="rId6"/>
    <sheet name="regression" sheetId="9" r:id="rId7"/>
    <sheet name="man-kendall+slope" sheetId="12" r:id="rId8"/>
    <sheet name="REG" sheetId="11" r:id="rId9"/>
    <sheet name="for R" sheetId="14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152" i="14" l="1"/>
  <c r="D152" i="14"/>
  <c r="C152" i="14"/>
  <c r="B152" i="14"/>
  <c r="E151" i="14"/>
  <c r="D151" i="14"/>
  <c r="C151" i="14"/>
  <c r="B151" i="14"/>
  <c r="E76" i="14"/>
  <c r="D76" i="14"/>
  <c r="C76" i="14"/>
  <c r="B76" i="14"/>
  <c r="E75" i="14"/>
  <c r="D75" i="14"/>
  <c r="C75" i="14"/>
  <c r="B75" i="14"/>
  <c r="E68" i="11" l="1"/>
  <c r="D68" i="11"/>
  <c r="C68" i="11"/>
  <c r="B68" i="11"/>
  <c r="E67" i="11"/>
  <c r="D67" i="11"/>
  <c r="C67" i="11"/>
  <c r="B67" i="11"/>
  <c r="G9" i="11" l="1"/>
  <c r="J4" i="11"/>
  <c r="J3" i="11"/>
  <c r="I3" i="11"/>
  <c r="H3" i="11"/>
  <c r="G8" i="11"/>
  <c r="F3" i="11"/>
  <c r="P22" i="9" l="1"/>
  <c r="P24" i="9" s="1"/>
  <c r="K76" i="9" l="1"/>
  <c r="J76" i="9"/>
  <c r="I76" i="9"/>
  <c r="H76" i="9"/>
  <c r="E76" i="9"/>
  <c r="D76" i="9"/>
  <c r="C76" i="9"/>
  <c r="B76" i="9"/>
  <c r="K75" i="9"/>
  <c r="J75" i="9"/>
  <c r="I75" i="9"/>
  <c r="H75" i="9"/>
  <c r="E75" i="9"/>
  <c r="D75" i="9"/>
  <c r="C75" i="9"/>
  <c r="B75" i="9"/>
  <c r="L72" i="9"/>
  <c r="F72" i="9"/>
  <c r="L71" i="9"/>
  <c r="F71" i="9"/>
  <c r="L70" i="9"/>
  <c r="F70" i="9"/>
  <c r="L69" i="9"/>
  <c r="F69" i="9"/>
  <c r="L66" i="9"/>
  <c r="F66" i="9"/>
  <c r="L65" i="9"/>
  <c r="F65" i="9"/>
  <c r="L64" i="9"/>
  <c r="F64" i="9"/>
  <c r="L63" i="9"/>
  <c r="F63" i="9"/>
  <c r="L60" i="9"/>
  <c r="F60" i="9"/>
  <c r="L59" i="9"/>
  <c r="F59" i="9"/>
  <c r="L58" i="9"/>
  <c r="F58" i="9"/>
  <c r="L57" i="9"/>
  <c r="F57" i="9"/>
  <c r="L54" i="9"/>
  <c r="F54" i="9"/>
  <c r="L53" i="9"/>
  <c r="F53" i="9"/>
  <c r="L52" i="9"/>
  <c r="F52" i="9"/>
  <c r="L51" i="9"/>
  <c r="F51" i="9"/>
  <c r="L48" i="9"/>
  <c r="F48" i="9"/>
  <c r="L47" i="9"/>
  <c r="F47" i="9"/>
  <c r="L46" i="9"/>
  <c r="F46" i="9"/>
  <c r="L45" i="9"/>
  <c r="F45" i="9"/>
  <c r="L42" i="9"/>
  <c r="F42" i="9"/>
  <c r="L41" i="9"/>
  <c r="F41" i="9"/>
  <c r="L40" i="9"/>
  <c r="F40" i="9"/>
  <c r="L39" i="9"/>
  <c r="F39" i="9"/>
  <c r="L36" i="9"/>
  <c r="F36" i="9"/>
  <c r="L35" i="9"/>
  <c r="F35" i="9"/>
  <c r="L34" i="9"/>
  <c r="F34" i="9"/>
  <c r="L33" i="9"/>
  <c r="F33" i="9"/>
  <c r="L30" i="9"/>
  <c r="F30" i="9"/>
  <c r="L29" i="9"/>
  <c r="F29" i="9"/>
  <c r="L28" i="9"/>
  <c r="F28" i="9"/>
  <c r="L27" i="9"/>
  <c r="F27" i="9"/>
  <c r="L24" i="9"/>
  <c r="F24" i="9"/>
  <c r="L23" i="9"/>
  <c r="F23" i="9"/>
  <c r="L22" i="9"/>
  <c r="F22" i="9"/>
  <c r="L21" i="9"/>
  <c r="F21" i="9"/>
  <c r="L18" i="9"/>
  <c r="F18" i="9"/>
  <c r="L17" i="9"/>
  <c r="F17" i="9"/>
  <c r="W16" i="9"/>
  <c r="V16" i="9"/>
  <c r="U16" i="9"/>
  <c r="T16" i="9"/>
  <c r="Q16" i="9"/>
  <c r="P16" i="9"/>
  <c r="O16" i="9"/>
  <c r="N16" i="9"/>
  <c r="L16" i="9"/>
  <c r="F16" i="9"/>
  <c r="W15" i="9"/>
  <c r="V15" i="9"/>
  <c r="U15" i="9"/>
  <c r="T15" i="9"/>
  <c r="Q15" i="9"/>
  <c r="P15" i="9"/>
  <c r="O15" i="9"/>
  <c r="N15" i="9"/>
  <c r="L15" i="9"/>
  <c r="F15" i="9"/>
  <c r="L12" i="9"/>
  <c r="F12" i="9"/>
  <c r="L11" i="9"/>
  <c r="F11" i="9"/>
  <c r="L10" i="9"/>
  <c r="F10" i="9"/>
  <c r="L9" i="9"/>
  <c r="F9" i="9"/>
  <c r="L6" i="9"/>
  <c r="F6" i="9"/>
  <c r="L5" i="9"/>
  <c r="F5" i="9"/>
  <c r="L4" i="9"/>
  <c r="F4" i="9"/>
  <c r="L3" i="9"/>
  <c r="F3" i="9"/>
  <c r="K25" i="7" l="1"/>
  <c r="L25" i="7"/>
  <c r="M25" i="7"/>
  <c r="N25" i="7"/>
  <c r="O25" i="7"/>
  <c r="K26" i="7"/>
  <c r="L26" i="7"/>
  <c r="M26" i="7"/>
  <c r="N26" i="7"/>
  <c r="O26" i="7"/>
  <c r="K27" i="7"/>
  <c r="L27" i="7"/>
  <c r="M27" i="7"/>
  <c r="N27" i="7"/>
  <c r="O27" i="7"/>
  <c r="K28" i="7"/>
  <c r="L28" i="7"/>
  <c r="M28" i="7"/>
  <c r="N28" i="7"/>
  <c r="O28" i="7"/>
  <c r="J26" i="7"/>
  <c r="J27" i="7"/>
  <c r="J28" i="7"/>
  <c r="J25" i="7"/>
  <c r="K19" i="7"/>
  <c r="L19" i="7"/>
  <c r="M19" i="7"/>
  <c r="N19" i="7"/>
  <c r="O19" i="7"/>
  <c r="K20" i="7"/>
  <c r="L20" i="7"/>
  <c r="M20" i="7"/>
  <c r="N20" i="7"/>
  <c r="O20" i="7"/>
  <c r="K21" i="7"/>
  <c r="L21" i="7"/>
  <c r="M21" i="7"/>
  <c r="N21" i="7"/>
  <c r="O21" i="7"/>
  <c r="K22" i="7"/>
  <c r="L22" i="7"/>
  <c r="M22" i="7"/>
  <c r="N22" i="7"/>
  <c r="O22" i="7"/>
  <c r="J20" i="7"/>
  <c r="J21" i="7"/>
  <c r="J22" i="7"/>
  <c r="J19" i="7"/>
  <c r="H20" i="7" l="1"/>
  <c r="H21" i="7"/>
  <c r="H22" i="7"/>
  <c r="H25" i="7"/>
  <c r="H26" i="7"/>
  <c r="H27" i="7"/>
  <c r="H28" i="7"/>
  <c r="H19" i="7"/>
  <c r="BW9" i="7"/>
  <c r="BX9" i="7"/>
  <c r="BY9" i="7"/>
  <c r="BZ9" i="7"/>
  <c r="CA9" i="7"/>
  <c r="CB9" i="7"/>
  <c r="BW10" i="7"/>
  <c r="BX10" i="7"/>
  <c r="BY10" i="7"/>
  <c r="BZ10" i="7"/>
  <c r="CA10" i="7"/>
  <c r="CB10" i="7"/>
  <c r="BW11" i="7"/>
  <c r="BX11" i="7"/>
  <c r="BY11" i="7"/>
  <c r="BZ11" i="7"/>
  <c r="CA11" i="7"/>
  <c r="CB11" i="7"/>
  <c r="BW12" i="7"/>
  <c r="BX12" i="7"/>
  <c r="BY12" i="7"/>
  <c r="BZ12" i="7"/>
  <c r="CA12" i="7"/>
  <c r="CB12" i="7"/>
  <c r="BW4" i="7"/>
  <c r="BX4" i="7"/>
  <c r="BY4" i="7"/>
  <c r="BZ4" i="7"/>
  <c r="CA4" i="7"/>
  <c r="CB4" i="7"/>
  <c r="BW5" i="7"/>
  <c r="BX5" i="7"/>
  <c r="BY5" i="7"/>
  <c r="BZ5" i="7"/>
  <c r="CA5" i="7"/>
  <c r="CB5" i="7"/>
  <c r="BW6" i="7"/>
  <c r="BX6" i="7"/>
  <c r="BY6" i="7"/>
  <c r="BZ6" i="7"/>
  <c r="CA6" i="7"/>
  <c r="CB6" i="7"/>
  <c r="BY3" i="7"/>
  <c r="BZ3" i="7"/>
  <c r="CA3" i="7"/>
  <c r="CB3" i="7"/>
  <c r="BX3" i="7"/>
  <c r="BW3" i="7"/>
  <c r="D4" i="1"/>
  <c r="D10" i="1"/>
  <c r="D16" i="1"/>
  <c r="D22" i="1"/>
  <c r="D28" i="1"/>
  <c r="D34" i="1"/>
  <c r="D40" i="1"/>
  <c r="D46" i="1"/>
  <c r="D52" i="1"/>
  <c r="D58" i="1"/>
  <c r="D64" i="1"/>
  <c r="D70" i="1"/>
  <c r="C76" i="6"/>
  <c r="D76" i="6"/>
  <c r="I76" i="6"/>
  <c r="J76" i="6"/>
  <c r="K76" i="6"/>
  <c r="E76" i="6"/>
  <c r="H76" i="6"/>
  <c r="U16" i="6"/>
  <c r="O29" i="6"/>
  <c r="L28" i="6"/>
  <c r="K28" i="2"/>
  <c r="M5" i="2"/>
  <c r="L21" i="6"/>
  <c r="L22" i="6"/>
  <c r="L23" i="6"/>
  <c r="L24" i="6"/>
  <c r="L27" i="6"/>
  <c r="L29" i="6"/>
  <c r="L30" i="6"/>
  <c r="L33" i="6"/>
  <c r="L34" i="6"/>
  <c r="L35" i="6"/>
  <c r="L36" i="6"/>
  <c r="L39" i="6"/>
  <c r="L40" i="6"/>
  <c r="L41" i="6"/>
  <c r="L42" i="6"/>
  <c r="L45" i="6"/>
  <c r="L46" i="6"/>
  <c r="L47" i="6"/>
  <c r="L48" i="6"/>
  <c r="L51" i="6"/>
  <c r="L52" i="6"/>
  <c r="L53" i="6"/>
  <c r="L54" i="6"/>
  <c r="L57" i="6"/>
  <c r="L58" i="6"/>
  <c r="L59" i="6"/>
  <c r="L60" i="6"/>
  <c r="L63" i="6"/>
  <c r="L64" i="6"/>
  <c r="L65" i="6"/>
  <c r="L66" i="6"/>
  <c r="L69" i="6"/>
  <c r="L70" i="6"/>
  <c r="L71" i="6"/>
  <c r="L72" i="6"/>
  <c r="L9" i="6"/>
  <c r="L10" i="6"/>
  <c r="L11" i="6"/>
  <c r="L12" i="6"/>
  <c r="L15" i="6"/>
  <c r="L16" i="6"/>
  <c r="L17" i="6"/>
  <c r="L18" i="6"/>
  <c r="L6" i="6"/>
  <c r="L5" i="6"/>
  <c r="L4" i="6"/>
  <c r="L3" i="6"/>
  <c r="W16" i="6"/>
  <c r="V16" i="6"/>
  <c r="T16" i="6"/>
  <c r="W15" i="6"/>
  <c r="V15" i="6"/>
  <c r="U15" i="6"/>
  <c r="T15" i="6"/>
  <c r="O16" i="6"/>
  <c r="P16" i="6"/>
  <c r="Q16" i="6"/>
  <c r="O15" i="6"/>
  <c r="P15" i="6"/>
  <c r="Q15" i="6"/>
  <c r="N16" i="6"/>
  <c r="N15" i="6"/>
  <c r="F72" i="6"/>
  <c r="F71" i="6"/>
  <c r="F70" i="6"/>
  <c r="F69" i="6"/>
  <c r="F66" i="6"/>
  <c r="F65" i="6"/>
  <c r="F64" i="6"/>
  <c r="F63" i="6"/>
  <c r="F60" i="6"/>
  <c r="F59" i="6"/>
  <c r="F58" i="6"/>
  <c r="F57" i="6"/>
  <c r="F54" i="6"/>
  <c r="F53" i="6"/>
  <c r="F52" i="6"/>
  <c r="F51" i="6"/>
  <c r="F48" i="6"/>
  <c r="F47" i="6"/>
  <c r="F46" i="6"/>
  <c r="F45" i="6"/>
  <c r="F42" i="6"/>
  <c r="F41" i="6"/>
  <c r="F40" i="6"/>
  <c r="F39" i="6"/>
  <c r="F36" i="6"/>
  <c r="F35" i="6"/>
  <c r="F34" i="6"/>
  <c r="F33" i="6"/>
  <c r="F30" i="6"/>
  <c r="F29" i="6"/>
  <c r="F28" i="6"/>
  <c r="F27" i="6"/>
  <c r="F24" i="6"/>
  <c r="F23" i="6"/>
  <c r="F22" i="6"/>
  <c r="F21" i="6"/>
  <c r="F18" i="6"/>
  <c r="F17" i="6"/>
  <c r="F16" i="6"/>
  <c r="F15" i="6"/>
  <c r="F12" i="6"/>
  <c r="F11" i="6"/>
  <c r="F10" i="6"/>
  <c r="F9" i="6"/>
  <c r="F6" i="6"/>
  <c r="F5" i="6"/>
  <c r="F4" i="6"/>
  <c r="F3" i="6"/>
  <c r="K75" i="6" l="1"/>
  <c r="J75" i="6"/>
  <c r="I75" i="6"/>
  <c r="H75" i="6"/>
  <c r="C75" i="6"/>
  <c r="D75" i="6"/>
  <c r="E75" i="6"/>
  <c r="B76" i="6"/>
  <c r="B75" i="6"/>
  <c r="C70" i="4" l="1"/>
  <c r="C64" i="4"/>
  <c r="C58" i="4"/>
  <c r="C52" i="4"/>
  <c r="C46" i="4"/>
  <c r="C40" i="4"/>
  <c r="C34" i="4"/>
  <c r="C28" i="4"/>
  <c r="C22" i="4"/>
  <c r="C16" i="4"/>
  <c r="C10" i="4"/>
  <c r="C4" i="4"/>
  <c r="D5" i="4" s="1"/>
  <c r="D70" i="3"/>
  <c r="D64" i="3"/>
  <c r="D58" i="3"/>
  <c r="D52" i="3"/>
  <c r="D46" i="3"/>
  <c r="D40" i="3"/>
  <c r="D34" i="3"/>
  <c r="D28" i="3"/>
  <c r="D22" i="3"/>
  <c r="D16" i="3"/>
  <c r="D10" i="3"/>
  <c r="F5" i="3"/>
  <c r="D4" i="3"/>
  <c r="H70" i="4"/>
  <c r="H64" i="4"/>
  <c r="H58" i="4"/>
  <c r="H52" i="4"/>
  <c r="H46" i="4"/>
  <c r="H40" i="4"/>
  <c r="H34" i="4"/>
  <c r="H28" i="4"/>
  <c r="H22" i="4"/>
  <c r="H16" i="4"/>
  <c r="I5" i="4" s="1"/>
  <c r="H10" i="4"/>
  <c r="H4" i="4"/>
  <c r="J70" i="3"/>
  <c r="J64" i="3"/>
  <c r="J58" i="3"/>
  <c r="J52" i="3"/>
  <c r="J46" i="3"/>
  <c r="J40" i="3"/>
  <c r="J34" i="3"/>
  <c r="J28" i="3"/>
  <c r="J22" i="3"/>
  <c r="J16" i="3"/>
  <c r="J10" i="3"/>
  <c r="J4" i="3"/>
  <c r="L5" i="3" s="1"/>
  <c r="K70" i="2"/>
  <c r="K64" i="2"/>
  <c r="K58" i="2"/>
  <c r="K52" i="2"/>
  <c r="K46" i="2"/>
  <c r="K40" i="2"/>
  <c r="K34" i="2"/>
  <c r="K22" i="2"/>
  <c r="K16" i="2"/>
  <c r="K10" i="2"/>
  <c r="K4" i="2"/>
  <c r="D70" i="2"/>
  <c r="D64" i="2"/>
  <c r="D58" i="2"/>
  <c r="D52" i="2"/>
  <c r="D46" i="2"/>
  <c r="D40" i="2"/>
  <c r="D34" i="2"/>
  <c r="D28" i="2"/>
  <c r="D22" i="2"/>
  <c r="D16" i="2"/>
  <c r="D10" i="2"/>
  <c r="D4" i="2"/>
  <c r="F5" i="2" l="1"/>
  <c r="G4" i="1"/>
  <c r="G1" i="9"/>
  <c r="A1" i="9"/>
  <c r="G1" i="6"/>
  <c r="A1" i="6"/>
</calcChain>
</file>

<file path=xl/sharedStrings.xml><?xml version="1.0" encoding="utf-8"?>
<sst xmlns="http://schemas.openxmlformats.org/spreadsheetml/2006/main" count="1513" uniqueCount="244">
  <si>
    <t>season</t>
  </si>
  <si>
    <t>snow_area_km2</t>
  </si>
  <si>
    <t>2000-10</t>
  </si>
  <si>
    <t>2000-11</t>
  </si>
  <si>
    <t>2000-12</t>
  </si>
  <si>
    <t>2001-01</t>
  </si>
  <si>
    <t>2001-02</t>
  </si>
  <si>
    <t>2001-03</t>
  </si>
  <si>
    <t>2001-10</t>
  </si>
  <si>
    <t>2001-11</t>
  </si>
  <si>
    <t>2001-12</t>
  </si>
  <si>
    <t>2002-01</t>
  </si>
  <si>
    <t>2002-02</t>
  </si>
  <si>
    <t>2002-03</t>
  </si>
  <si>
    <t>2002-10</t>
  </si>
  <si>
    <t>2002-11</t>
  </si>
  <si>
    <t>2002-12</t>
  </si>
  <si>
    <t>2003-01</t>
  </si>
  <si>
    <t>2003-02</t>
  </si>
  <si>
    <t>2003-03</t>
  </si>
  <si>
    <t>2003-10</t>
  </si>
  <si>
    <t>2003-11</t>
  </si>
  <si>
    <t>2003-12</t>
  </si>
  <si>
    <t>2004-01</t>
  </si>
  <si>
    <t>2004-02</t>
  </si>
  <si>
    <t>2004-03</t>
  </si>
  <si>
    <t>2004-10</t>
  </si>
  <si>
    <t>2004-11</t>
  </si>
  <si>
    <t>2004-12</t>
  </si>
  <si>
    <t>2005-01</t>
  </si>
  <si>
    <t>2005-02</t>
  </si>
  <si>
    <t>2005-03</t>
  </si>
  <si>
    <t>2005-10</t>
  </si>
  <si>
    <t>2005-11</t>
  </si>
  <si>
    <t>2005-12</t>
  </si>
  <si>
    <t>2006-01</t>
  </si>
  <si>
    <t>2006-02</t>
  </si>
  <si>
    <t>2006-03</t>
  </si>
  <si>
    <t>2006-10</t>
  </si>
  <si>
    <t>2006-11</t>
  </si>
  <si>
    <t>2006-12</t>
  </si>
  <si>
    <t>2007-01</t>
  </si>
  <si>
    <t>2007-02</t>
  </si>
  <si>
    <t>2007-03</t>
  </si>
  <si>
    <t>2007-10</t>
  </si>
  <si>
    <t>2007-11</t>
  </si>
  <si>
    <t>2007-12</t>
  </si>
  <si>
    <t>2008-01</t>
  </si>
  <si>
    <t>2008-02</t>
  </si>
  <si>
    <t>2008-03</t>
  </si>
  <si>
    <t>2008-10</t>
  </si>
  <si>
    <t>2008-11</t>
  </si>
  <si>
    <t>2008-12</t>
  </si>
  <si>
    <t>2009-01</t>
  </si>
  <si>
    <t>2009-02</t>
  </si>
  <si>
    <t>2009-03</t>
  </si>
  <si>
    <t>2009-10</t>
  </si>
  <si>
    <t>2009-11</t>
  </si>
  <si>
    <t>2009-12</t>
  </si>
  <si>
    <t>2010-01</t>
  </si>
  <si>
    <t>2010-02</t>
  </si>
  <si>
    <t>2010-03</t>
  </si>
  <si>
    <t>2010-10</t>
  </si>
  <si>
    <t>2010-11</t>
  </si>
  <si>
    <t>2010-12</t>
  </si>
  <si>
    <t>2011-01</t>
  </si>
  <si>
    <t>2011-02</t>
  </si>
  <si>
    <t>2011-03</t>
  </si>
  <si>
    <t>2011-10</t>
  </si>
  <si>
    <t>2011-11</t>
  </si>
  <si>
    <t>2011-12</t>
  </si>
  <si>
    <t>2012-01</t>
  </si>
  <si>
    <t>2012-02</t>
  </si>
  <si>
    <t>2012-03</t>
  </si>
  <si>
    <t>2012-10</t>
  </si>
  <si>
    <t>2012-11</t>
  </si>
  <si>
    <t>2012-12</t>
  </si>
  <si>
    <t>2013-01</t>
  </si>
  <si>
    <t>2013-02</t>
  </si>
  <si>
    <t>2013-03</t>
  </si>
  <si>
    <t>2013-10</t>
  </si>
  <si>
    <t>2013-11</t>
  </si>
  <si>
    <t>2013-12</t>
  </si>
  <si>
    <t>2014-01</t>
  </si>
  <si>
    <t>2014-02</t>
  </si>
  <si>
    <t>2014-03</t>
  </si>
  <si>
    <t>2014-10</t>
  </si>
  <si>
    <t>2014-11</t>
  </si>
  <si>
    <t>2014-12</t>
  </si>
  <si>
    <t>2015-01</t>
  </si>
  <si>
    <t>2015-02</t>
  </si>
  <si>
    <t>2015-03</t>
  </si>
  <si>
    <t>2015-10</t>
  </si>
  <si>
    <t>2015-11</t>
  </si>
  <si>
    <t>2015-12</t>
  </si>
  <si>
    <t>2016-01</t>
  </si>
  <si>
    <t>2016-02</t>
  </si>
  <si>
    <t>2016-03</t>
  </si>
  <si>
    <t>2016-10</t>
  </si>
  <si>
    <t>2016-11</t>
  </si>
  <si>
    <t>2016-12</t>
  </si>
  <si>
    <t>2017-01</t>
  </si>
  <si>
    <t>2017-02</t>
  </si>
  <si>
    <t>2017-03</t>
  </si>
  <si>
    <t>2017-10</t>
  </si>
  <si>
    <t>2017-11</t>
  </si>
  <si>
    <t>2017-12</t>
  </si>
  <si>
    <t>2018-01</t>
  </si>
  <si>
    <t>2018-02</t>
  </si>
  <si>
    <t>2018-03</t>
  </si>
  <si>
    <t>2018-10</t>
  </si>
  <si>
    <t>2018-11</t>
  </si>
  <si>
    <t>2018-12</t>
  </si>
  <si>
    <t>2019-01</t>
  </si>
  <si>
    <t>2019-02</t>
  </si>
  <si>
    <t>2019-03</t>
  </si>
  <si>
    <t>2019-10</t>
  </si>
  <si>
    <t>2019-11</t>
  </si>
  <si>
    <t>2019-12</t>
  </si>
  <si>
    <t>2020-01</t>
  </si>
  <si>
    <t>2020-02</t>
  </si>
  <si>
    <t>2020-03</t>
  </si>
  <si>
    <t>2020-10</t>
  </si>
  <si>
    <t>2020-11</t>
  </si>
  <si>
    <t>2020-12</t>
  </si>
  <si>
    <t>2021-01</t>
  </si>
  <si>
    <t>2021-02</t>
  </si>
  <si>
    <t>2021-03</t>
  </si>
  <si>
    <t>2021-10</t>
  </si>
  <si>
    <t>2021-11</t>
  </si>
  <si>
    <t>2021-12</t>
  </si>
  <si>
    <t>2022-01</t>
  </si>
  <si>
    <t>2022-02</t>
  </si>
  <si>
    <t>2022-03</t>
  </si>
  <si>
    <t>2022-10</t>
  </si>
  <si>
    <t>2022-11</t>
  </si>
  <si>
    <t>2022-12</t>
  </si>
  <si>
    <t>2023-01</t>
  </si>
  <si>
    <t>2023-02</t>
  </si>
  <si>
    <t>2023-03</t>
  </si>
  <si>
    <t>2023-10</t>
  </si>
  <si>
    <t>2023-11</t>
  </si>
  <si>
    <t>2023-12</t>
  </si>
  <si>
    <t>2024-01</t>
  </si>
  <si>
    <t>2024-02</t>
  </si>
  <si>
    <t>2024-03</t>
  </si>
  <si>
    <t>snowline_mean_m</t>
  </si>
  <si>
    <t>SDI</t>
  </si>
  <si>
    <t>SCV</t>
  </si>
  <si>
    <t>S.line_mean_m</t>
  </si>
  <si>
    <t>S.area_km2</t>
  </si>
  <si>
    <t>first period 2000-2001__2011-2012</t>
  </si>
  <si>
    <t xml:space="preserve">sum </t>
  </si>
  <si>
    <t>average</t>
  </si>
  <si>
    <t>2000-2001</t>
  </si>
  <si>
    <t>2001-2002</t>
  </si>
  <si>
    <t>2002-2003</t>
  </si>
  <si>
    <t>2003-2004</t>
  </si>
  <si>
    <t>2004-2005</t>
  </si>
  <si>
    <t>2005-2006</t>
  </si>
  <si>
    <t>2006-2007</t>
  </si>
  <si>
    <t>2007-2008</t>
  </si>
  <si>
    <t>2008-2009</t>
  </si>
  <si>
    <t>2009-2010</t>
  </si>
  <si>
    <t>2010-2011</t>
  </si>
  <si>
    <t>2011-2012</t>
  </si>
  <si>
    <t>All-Average</t>
  </si>
  <si>
    <t>average/avg</t>
  </si>
  <si>
    <t>average season 2000-2001__2011-2012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</si>
  <si>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</si>
  <si>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</si>
  <si>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</si>
  <si>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</si>
  <si>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</si>
  <si>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</si>
  <si>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</si>
  <si>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</si>
  <si>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</si>
  <si>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</si>
  <si>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</si>
  <si>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</si>
  <si>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average season 2012-2013__2023-2024</t>
  </si>
  <si>
    <t>second period 2012-2013__2023-2024</t>
  </si>
  <si>
    <t>average monthly 2000-2001__2011-2012</t>
  </si>
  <si>
    <t>snow_area_km3</t>
  </si>
  <si>
    <t>average monthly 2012-2013__2023-2024</t>
  </si>
  <si>
    <t>month</t>
  </si>
  <si>
    <t>avarege</t>
  </si>
  <si>
    <t>oct</t>
  </si>
  <si>
    <t>nov</t>
  </si>
  <si>
    <t>dec</t>
  </si>
  <si>
    <t>jan</t>
  </si>
  <si>
    <t>feb</t>
  </si>
  <si>
    <t>mar</t>
  </si>
  <si>
    <t>cor</t>
  </si>
  <si>
    <t>reg</t>
  </si>
  <si>
    <t>r</t>
  </si>
  <si>
    <t>R2</t>
  </si>
  <si>
    <t>گۆڕانی رووبه‌ر  له‌نێوان 2 ماوه‌ ی لێكۆڵینه‌وه‌</t>
  </si>
  <si>
    <t>گۆڕانی رێژه‌  له‌نێوان 2 ماوه‌ی لێكۆڵینه‌وه‌</t>
  </si>
  <si>
    <t>2000-2012</t>
  </si>
  <si>
    <t>2012-2024</t>
  </si>
  <si>
    <t>R</t>
  </si>
  <si>
    <t xml:space="preserve">p value </t>
  </si>
  <si>
    <t>df</t>
  </si>
  <si>
    <t>t</t>
  </si>
  <si>
    <t>p</t>
  </si>
  <si>
    <t>2013-2024</t>
  </si>
  <si>
    <t>يةكسانة n-2</t>
  </si>
  <si>
    <t>ژماره‌ی داتاكان</t>
  </si>
  <si>
    <t>intercept(a)</t>
  </si>
  <si>
    <t>slpoe(b)</t>
  </si>
  <si>
    <t>regression equation</t>
  </si>
  <si>
    <r>
      <t>y=a</t>
    </r>
    <r>
      <rPr>
        <b/>
        <sz val="14"/>
        <color theme="1"/>
        <rFont val="Calibri"/>
        <family val="2"/>
      </rPr>
      <t>±bX</t>
    </r>
  </si>
  <si>
    <t>deg of fridom</t>
  </si>
  <si>
    <t>Interpretation: As snow-covered area increases, the snowline mean elevation tends to decrease significantly, and the relationship is strong and statistically significant.</t>
  </si>
  <si>
    <t>result</t>
  </si>
  <si>
    <t>t= (r*sqrt(df))/(sqrt(1-r^2))</t>
  </si>
  <si>
    <t>p=TDIST(t,df,tail)</t>
  </si>
  <si>
    <r>
      <t xml:space="preserve">Mean seasonal snow area: </t>
    </r>
    <r>
      <rPr>
        <b/>
        <sz val="11"/>
        <color theme="1"/>
        <rFont val="Calibri"/>
        <family val="2"/>
        <scheme val="minor"/>
      </rPr>
      <t>2000–2012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3849.9 km²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2013–2024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1"/>
        <color theme="1"/>
        <rFont val="Calibri"/>
        <family val="2"/>
        <scheme val="minor"/>
      </rPr>
      <t>3000.2 km²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decline = 849.7 km² (≈ 22.1% decrease)</t>
    </r>
    <r>
      <rPr>
        <sz val="11"/>
        <color theme="1"/>
        <rFont val="Calibri"/>
        <family val="2"/>
        <scheme val="minor"/>
      </rPr>
      <t>.</t>
    </r>
  </si>
  <si>
    <r>
      <t xml:space="preserve">Mean snow-line elevation: </t>
    </r>
    <r>
      <rPr>
        <b/>
        <sz val="11"/>
        <color theme="1"/>
        <rFont val="Calibri"/>
        <family val="2"/>
        <scheme val="minor"/>
      </rPr>
      <t>2021.1 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2158.5 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rise = 137.4 m (≈ 6.8% increase)</t>
    </r>
    <r>
      <rPr>
        <sz val="11"/>
        <color theme="1"/>
        <rFont val="Calibri"/>
        <family val="2"/>
        <scheme val="minor"/>
      </rPr>
      <t>.</t>
    </r>
  </si>
  <si>
    <r>
      <t xml:space="preserve">SDI fell from </t>
    </r>
    <r>
      <rPr>
        <b/>
        <sz val="11"/>
        <color theme="1"/>
        <rFont val="Calibri"/>
        <family val="2"/>
        <scheme val="minor"/>
      </rPr>
      <t>9.0 → 6.9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−23.3%</t>
    </r>
    <r>
      <rPr>
        <sz val="11"/>
        <color theme="1"/>
        <rFont val="Calibri"/>
        <family val="2"/>
        <scheme val="minor"/>
      </rPr>
      <t>).</t>
    </r>
  </si>
  <si>
    <r>
      <t xml:space="preserve">SCV fell from </t>
    </r>
    <r>
      <rPr>
        <b/>
        <sz val="11"/>
        <color theme="1"/>
        <rFont val="Calibri"/>
        <family val="2"/>
        <scheme val="minor"/>
      </rPr>
      <t>5.9 → 4.7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−20.3%</t>
    </r>
    <r>
      <rPr>
        <sz val="11"/>
        <color theme="1"/>
        <rFont val="Calibri"/>
        <family val="2"/>
        <scheme val="minor"/>
      </rPr>
      <t>).</t>
    </r>
  </si>
  <si>
    <t>Variable</t>
  </si>
  <si>
    <t>MK τ</t>
  </si>
  <si>
    <t>p-value</t>
  </si>
  <si>
    <t>Sen’s slope</t>
  </si>
  <si>
    <t>Snow Area (km²)</t>
  </si>
  <si>
    <t>−0.29</t>
  </si>
  <si>
    <t>−77.28 km²/season</t>
  </si>
  <si>
    <t>Snow Line (m)</t>
  </si>
  <si>
    <t>8.30 m/season</t>
  </si>
  <si>
    <t>−0.18 /season</t>
  </si>
  <si>
    <t>−0.35</t>
  </si>
  <si>
    <t>−0.12 /season</t>
  </si>
  <si>
    <t>it means this</t>
  </si>
  <si>
    <t>change snow cover area (km2) and snowline (m)</t>
  </si>
  <si>
    <t>first period 2000-2001 to 2011-2012</t>
  </si>
  <si>
    <t>years</t>
  </si>
  <si>
    <t>first period</t>
  </si>
  <si>
    <t>second period</t>
  </si>
  <si>
    <t>aveg-1</t>
  </si>
  <si>
    <t>first period (2000/2001-2011/2012)</t>
  </si>
  <si>
    <t>second period (2011/2012-2023/2024)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</si>
</sst>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4" fontId="0" fillId="0" borderId="0" xfId="0" applyNumberFormat="1"/>
    <xf numFmtId="0" fontId="0" fillId="2" borderId="0" xfId="0" applyFill="1"/>
    <xf numFmtId="4" fontId="0" fillId="2" borderId="0" xfId="0" applyNumberFormat="1" applyFill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6" borderId="0" xfId="0" applyFill="1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164" fontId="0" fillId="8" borderId="1" xfId="0" applyNumberFormat="1" applyFill="1" applyBorder="1"/>
    <xf numFmtId="164" fontId="0" fillId="9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10" borderId="2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1" xfId="0" applyFill="1" applyBorder="1"/>
    <xf numFmtId="0" fontId="0" fillId="12" borderId="1" xfId="0" applyFill="1" applyBorder="1" applyAlignment="1">
      <alignment horizontal="center"/>
    </xf>
    <xf numFmtId="0" fontId="0" fillId="0" borderId="0" xfId="0" applyAlignment="1">
      <alignment wrapText="1"/>
    </xf>
    <xf numFmtId="0" fontId="2" fillId="12" borderId="0" xfId="0" applyFont="1" applyFill="1" applyAlignment="1">
      <alignment horizontal="center"/>
    </xf>
    <xf numFmtId="0" fontId="3" fillId="12" borderId="1" xfId="0" applyFont="1" applyFill="1" applyBorder="1" applyAlignme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6" borderId="4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2" borderId="1" xfId="0" applyFill="1" applyBorder="1" applyAlignment="1"/>
    <xf numFmtId="164" fontId="0" fillId="6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0" fontId="0" fillId="6" borderId="3" xfId="0" applyFill="1" applyBorder="1" applyAlignment="1"/>
    <xf numFmtId="0" fontId="0" fillId="14" borderId="0" xfId="0" applyFill="1"/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164" fontId="0" fillId="14" borderId="1" xfId="0" applyNumberFormat="1" applyFill="1" applyBorder="1" applyAlignment="1">
      <alignment horizontal="center"/>
    </xf>
    <xf numFmtId="0" fontId="0" fillId="14" borderId="4" xfId="0" applyFill="1" applyBorder="1" applyAlignment="1"/>
    <xf numFmtId="0" fontId="0" fillId="2" borderId="1" xfId="0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1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31846019247594E-3"/>
                  <c:y val="-0.335355788859725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regression!$N$21:$N$26</c:f>
              <c:numCache>
                <c:formatCode>0.0</c:formatCode>
                <c:ptCount val="6"/>
                <c:pt idx="0">
                  <c:v>0.74016666666666664</c:v>
                </c:pt>
                <c:pt idx="1">
                  <c:v>752.39499999999998</c:v>
                </c:pt>
                <c:pt idx="2">
                  <c:v>3052.2453333333328</c:v>
                </c:pt>
                <c:pt idx="3">
                  <c:v>7883.278416666667</c:v>
                </c:pt>
                <c:pt idx="4">
                  <c:v>8184.4632500000007</c:v>
                </c:pt>
                <c:pt idx="5">
                  <c:v>3226.2666666666669</c:v>
                </c:pt>
              </c:numCache>
            </c:numRef>
          </c:xVal>
          <c:yVal>
            <c:numRef>
              <c:f>regression!$O$21:$O$26</c:f>
              <c:numCache>
                <c:formatCode>0.0</c:formatCode>
                <c:ptCount val="6"/>
                <c:pt idx="0">
                  <c:v>2861.5873333333329</c:v>
                </c:pt>
                <c:pt idx="1">
                  <c:v>2553.67</c:v>
                </c:pt>
                <c:pt idx="2">
                  <c:v>2056.7636666666667</c:v>
                </c:pt>
                <c:pt idx="3">
                  <c:v>1633.9451666666664</c:v>
                </c:pt>
                <c:pt idx="4">
                  <c:v>1640.3355833333335</c:v>
                </c:pt>
                <c:pt idx="5">
                  <c:v>2042.0554166666664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8-43C6-AEBF-5927DF329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5894352"/>
        <c:axId val="505894024"/>
      </c:scatterChart>
      <c:valAx>
        <c:axId val="50589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4024"/>
        <c:crosses val="autoZero"/>
        <c:crossBetween val="midCat"/>
      </c:valAx>
      <c:valAx>
        <c:axId val="505894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894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-5400000" spcFirstLastPara="1" vertOverflow="ellipsis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Snowline/m</a:t>
            </a:r>
          </a:p>
        </c:rich>
      </c:tx>
      <c:layout>
        <c:manualLayout>
          <c:xMode val="edge"/>
          <c:yMode val="edge"/>
          <c:x val="1.0713275490245248E-2"/>
          <c:y val="0.38589211618257263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285129645418525"/>
          <c:y val="0.13851798608161531"/>
          <c:w val="0.76699593760970963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49498768601062"/>
                  <c:y val="-0.407642534266550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regression!$Q$45:$Q$56</c:f>
              <c:numCache>
                <c:formatCode>0.0</c:formatCode>
                <c:ptCount val="12"/>
                <c:pt idx="0">
                  <c:v>3063.5766666666664</c:v>
                </c:pt>
                <c:pt idx="1">
                  <c:v>4578.5826666666662</c:v>
                </c:pt>
                <c:pt idx="2">
                  <c:v>5951.1793333333335</c:v>
                </c:pt>
                <c:pt idx="3">
                  <c:v>3292.7191666666663</c:v>
                </c:pt>
                <c:pt idx="4">
                  <c:v>5722.6808333333329</c:v>
                </c:pt>
                <c:pt idx="5">
                  <c:v>3728.7469999999998</c:v>
                </c:pt>
                <c:pt idx="6">
                  <c:v>4501.657666666667</c:v>
                </c:pt>
                <c:pt idx="7">
                  <c:v>3588.9176666666663</c:v>
                </c:pt>
                <c:pt idx="8">
                  <c:v>2379.2313333333336</c:v>
                </c:pt>
                <c:pt idx="9">
                  <c:v>1485.104</c:v>
                </c:pt>
                <c:pt idx="10">
                  <c:v>3026.2488333333336</c:v>
                </c:pt>
                <c:pt idx="11">
                  <c:v>4880.1324999999997</c:v>
                </c:pt>
              </c:numCache>
            </c:numRef>
          </c:xVal>
          <c:yVal>
            <c:numRef>
              <c:f>regression!$R$45:$R$56</c:f>
              <c:numCache>
                <c:formatCode>0.0</c:formatCode>
                <c:ptCount val="12"/>
                <c:pt idx="0">
                  <c:v>2241.3366666666666</c:v>
                </c:pt>
                <c:pt idx="1">
                  <c:v>1835.9068</c:v>
                </c:pt>
                <c:pt idx="2">
                  <c:v>1817.9322</c:v>
                </c:pt>
                <c:pt idx="3">
                  <c:v>2062.9415999999997</c:v>
                </c:pt>
                <c:pt idx="4">
                  <c:v>1768.9559999999997</c:v>
                </c:pt>
                <c:pt idx="5">
                  <c:v>2171.8229999999999</c:v>
                </c:pt>
                <c:pt idx="6">
                  <c:v>2025.0388333333333</c:v>
                </c:pt>
                <c:pt idx="7">
                  <c:v>1983.9849999999999</c:v>
                </c:pt>
                <c:pt idx="8">
                  <c:v>2128.3664000000003</c:v>
                </c:pt>
                <c:pt idx="9">
                  <c:v>2218.2148000000002</c:v>
                </c:pt>
                <c:pt idx="10">
                  <c:v>2141.0755999999997</c:v>
                </c:pt>
                <c:pt idx="11">
                  <c:v>1857.9833999999998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3A-4177-9DD3-1C0386376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535512"/>
        <c:axId val="514535840"/>
      </c:scatterChart>
      <c:valAx>
        <c:axId val="514535512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35840"/>
        <c:crosses val="autoZero"/>
        <c:crossBetween val="midCat"/>
      </c:valAx>
      <c:valAx>
        <c:axId val="514535840"/>
        <c:scaling>
          <c:orientation val="minMax"/>
          <c:min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35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regression!$U$44</c:f>
              <c:strCache>
                <c:ptCount val="1"/>
                <c:pt idx="0">
                  <c:v>S.line_mean_m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2700" cap="flat" cmpd="sng" algn="ctr">
                <a:solidFill>
                  <a:srgbClr val="FF0000"/>
                </a:solidFill>
                <a:prstDash val="solid"/>
                <a:miter lim="800000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5868766404199473E-2"/>
                  <c:y val="-0.4061442840478273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bg2">
                          <a:lumMod val="1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regression!$T$45:$T$56</c:f>
              <c:numCache>
                <c:formatCode>0.0</c:formatCode>
                <c:ptCount val="12"/>
                <c:pt idx="0">
                  <c:v>4179.4073333333336</c:v>
                </c:pt>
                <c:pt idx="1">
                  <c:v>2856.2886666666673</c:v>
                </c:pt>
                <c:pt idx="2">
                  <c:v>2591.2926666666667</c:v>
                </c:pt>
                <c:pt idx="3">
                  <c:v>3178.8296666666665</c:v>
                </c:pt>
                <c:pt idx="4">
                  <c:v>3464.1928333333331</c:v>
                </c:pt>
                <c:pt idx="5">
                  <c:v>1484.448166666667</c:v>
                </c:pt>
                <c:pt idx="6">
                  <c:v>3577.9950000000003</c:v>
                </c:pt>
                <c:pt idx="7">
                  <c:v>3929.9198333333334</c:v>
                </c:pt>
                <c:pt idx="8">
                  <c:v>1973.9233333333332</c:v>
                </c:pt>
                <c:pt idx="9">
                  <c:v>4712.4158333333335</c:v>
                </c:pt>
                <c:pt idx="10">
                  <c:v>2119.2635</c:v>
                </c:pt>
                <c:pt idx="11">
                  <c:v>1934.4783333333335</c:v>
                </c:pt>
              </c:numCache>
            </c:numRef>
          </c:xVal>
          <c:yVal>
            <c:numRef>
              <c:f>regression!$U$45:$U$56</c:f>
              <c:numCache>
                <c:formatCode>0.0</c:formatCode>
                <c:ptCount val="12"/>
                <c:pt idx="0">
                  <c:v>2225.4830000000002</c:v>
                </c:pt>
                <c:pt idx="1">
                  <c:v>2134.2726000000002</c:v>
                </c:pt>
                <c:pt idx="2">
                  <c:v>2237.4821666666667</c:v>
                </c:pt>
                <c:pt idx="3">
                  <c:v>2015.7164</c:v>
                </c:pt>
                <c:pt idx="4">
                  <c:v>2022.9788000000001</c:v>
                </c:pt>
                <c:pt idx="5">
                  <c:v>2246.3776000000003</c:v>
                </c:pt>
                <c:pt idx="6">
                  <c:v>2209.2315000000003</c:v>
                </c:pt>
                <c:pt idx="7">
                  <c:v>2074.5281999999997</c:v>
                </c:pt>
                <c:pt idx="8">
                  <c:v>2168.2388000000001</c:v>
                </c:pt>
                <c:pt idx="9">
                  <c:v>1986.8576</c:v>
                </c:pt>
                <c:pt idx="10">
                  <c:v>2434.7453333333333</c:v>
                </c:pt>
                <c:pt idx="11">
                  <c:v>2146.3375999999998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B-4EF7-A00C-4EE3BB4B3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489640"/>
        <c:axId val="501493904"/>
      </c:scatterChart>
      <c:valAx>
        <c:axId val="501489640"/>
        <c:scaling>
          <c:orientation val="minMax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93904"/>
        <c:crosses val="autoZero"/>
        <c:crossBetween val="midCat"/>
        <c:minorUnit val="500"/>
      </c:valAx>
      <c:valAx>
        <c:axId val="501493904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489640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35695538057742E-2"/>
                  <c:y val="-0.13330562846310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REG!$C$3:$C$14</c:f>
              <c:numCache>
                <c:formatCode>0.0</c:formatCode>
                <c:ptCount val="12"/>
                <c:pt idx="0">
                  <c:v>4179.4073333333336</c:v>
                </c:pt>
                <c:pt idx="1">
                  <c:v>2856.2886666666673</c:v>
                </c:pt>
                <c:pt idx="2">
                  <c:v>2591.2926666666667</c:v>
                </c:pt>
                <c:pt idx="3">
                  <c:v>3178.8296666666665</c:v>
                </c:pt>
                <c:pt idx="4">
                  <c:v>3464.1928333333331</c:v>
                </c:pt>
                <c:pt idx="5">
                  <c:v>1484.448166666667</c:v>
                </c:pt>
                <c:pt idx="6">
                  <c:v>3577.9950000000003</c:v>
                </c:pt>
                <c:pt idx="7">
                  <c:v>3929.9198333333334</c:v>
                </c:pt>
                <c:pt idx="8">
                  <c:v>1973.9233333333332</c:v>
                </c:pt>
                <c:pt idx="9">
                  <c:v>4712.4158333333335</c:v>
                </c:pt>
                <c:pt idx="10">
                  <c:v>2119.2635</c:v>
                </c:pt>
                <c:pt idx="11">
                  <c:v>1934.4783333333335</c:v>
                </c:pt>
              </c:numCache>
            </c:numRef>
          </c:xVal>
          <c:yVal>
            <c:numRef>
              <c:f>REG!$D$3:$D$14</c:f>
              <c:numCache>
                <c:formatCode>0.0</c:formatCode>
                <c:ptCount val="12"/>
                <c:pt idx="0">
                  <c:v>2225.4830000000002</c:v>
                </c:pt>
                <c:pt idx="1">
                  <c:v>2134.2726000000002</c:v>
                </c:pt>
                <c:pt idx="2">
                  <c:v>2237.4821666666667</c:v>
                </c:pt>
                <c:pt idx="3">
                  <c:v>2015.7164</c:v>
                </c:pt>
                <c:pt idx="4">
                  <c:v>2022.9788000000001</c:v>
                </c:pt>
                <c:pt idx="5">
                  <c:v>2246.3776000000003</c:v>
                </c:pt>
                <c:pt idx="6">
                  <c:v>2209.2315000000003</c:v>
                </c:pt>
                <c:pt idx="7">
                  <c:v>2074.5281999999997</c:v>
                </c:pt>
                <c:pt idx="8">
                  <c:v>2168.2388000000001</c:v>
                </c:pt>
                <c:pt idx="9">
                  <c:v>1986.8576</c:v>
                </c:pt>
                <c:pt idx="10">
                  <c:v>2434.7453333333333</c:v>
                </c:pt>
                <c:pt idx="11">
                  <c:v>2146.3375999999998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B3-4D0D-BD52-D44A23AEA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95568"/>
        <c:axId val="435892616"/>
      </c:scatterChart>
      <c:valAx>
        <c:axId val="4358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2616"/>
        <c:crosses val="autoZero"/>
        <c:crossBetween val="midCat"/>
      </c:valAx>
      <c:valAx>
        <c:axId val="4358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REG!$B$2</c:f>
              <c:strCache>
                <c:ptCount val="1"/>
                <c:pt idx="0">
                  <c:v>S.line_mean_m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35695538057742E-2"/>
                  <c:y val="-0.13330562846310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REG!$A$3:$A$14</c:f>
              <c:numCache>
                <c:formatCode>0.0</c:formatCode>
                <c:ptCount val="12"/>
                <c:pt idx="0">
                  <c:v>3063.5766666666664</c:v>
                </c:pt>
                <c:pt idx="1">
                  <c:v>4578.5826666666662</c:v>
                </c:pt>
                <c:pt idx="2">
                  <c:v>5951.1793333333335</c:v>
                </c:pt>
                <c:pt idx="3">
                  <c:v>3292.7191666666663</c:v>
                </c:pt>
                <c:pt idx="4">
                  <c:v>5722.6808333333329</c:v>
                </c:pt>
                <c:pt idx="5">
                  <c:v>3728.7469999999998</c:v>
                </c:pt>
                <c:pt idx="6">
                  <c:v>4501.657666666667</c:v>
                </c:pt>
                <c:pt idx="7">
                  <c:v>3588.9176666666663</c:v>
                </c:pt>
                <c:pt idx="8">
                  <c:v>2379.2313333333336</c:v>
                </c:pt>
                <c:pt idx="9">
                  <c:v>1485.104</c:v>
                </c:pt>
                <c:pt idx="10">
                  <c:v>3026.2488333333336</c:v>
                </c:pt>
                <c:pt idx="11">
                  <c:v>4880.1324999999997</c:v>
                </c:pt>
              </c:numCache>
            </c:numRef>
          </c:xVal>
          <c:yVal>
            <c:numRef>
              <c:f>REG!$B$3:$B$14</c:f>
              <c:numCache>
                <c:formatCode>0.0</c:formatCode>
                <c:ptCount val="12"/>
                <c:pt idx="0">
                  <c:v>2241.3366666666666</c:v>
                </c:pt>
                <c:pt idx="1">
                  <c:v>1835.9068</c:v>
                </c:pt>
                <c:pt idx="2">
                  <c:v>1817.9322</c:v>
                </c:pt>
                <c:pt idx="3">
                  <c:v>2062.9415999999997</c:v>
                </c:pt>
                <c:pt idx="4">
                  <c:v>1768.9559999999997</c:v>
                </c:pt>
                <c:pt idx="5">
                  <c:v>2171.8229999999999</c:v>
                </c:pt>
                <c:pt idx="6">
                  <c:v>2025.0388333333333</c:v>
                </c:pt>
                <c:pt idx="7">
                  <c:v>1983.9849999999999</c:v>
                </c:pt>
                <c:pt idx="8">
                  <c:v>2128.3664000000003</c:v>
                </c:pt>
                <c:pt idx="9">
                  <c:v>2218.2148000000002</c:v>
                </c:pt>
                <c:pt idx="10">
                  <c:v>2141.0755999999997</c:v>
                </c:pt>
                <c:pt idx="11">
                  <c:v>1857.9833999999998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ED-4F8D-BCED-4AC7ED242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95568"/>
        <c:axId val="435892616"/>
      </c:scatterChart>
      <c:valAx>
        <c:axId val="43589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2616"/>
        <c:crosses val="autoZero"/>
        <c:crossBetween val="midCat"/>
      </c:valAx>
      <c:valAx>
        <c:axId val="43589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94399438602285"/>
          <c:y val="0.1111111111111111"/>
          <c:w val="0.83136541418561216"/>
          <c:h val="0.72593394575678039"/>
        </c:manualLayout>
      </c:layout>
      <c:scatterChart>
        <c:scatterStyle val="lineMarker"/>
        <c:varyColors val="0"/>
        <c:ser>
          <c:idx val="0"/>
          <c:order val="0"/>
          <c:tx>
            <c:strRef>
              <c:f>REG!$D$54</c:f>
              <c:strCache>
                <c:ptCount val="1"/>
                <c:pt idx="0">
                  <c:v>SDI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817741818969877"/>
                  <c:y val="-0.185676946631671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REG!$B$55:$B$66</c:f>
              <c:numCache>
                <c:formatCode>0.0</c:formatCode>
                <c:ptCount val="12"/>
                <c:pt idx="0">
                  <c:v>3063.5766666666664</c:v>
                </c:pt>
                <c:pt idx="1">
                  <c:v>4578.5826666666662</c:v>
                </c:pt>
                <c:pt idx="2">
                  <c:v>5951.1793333333335</c:v>
                </c:pt>
                <c:pt idx="3">
                  <c:v>3292.7191666666663</c:v>
                </c:pt>
                <c:pt idx="4">
                  <c:v>5722.6808333333329</c:v>
                </c:pt>
                <c:pt idx="5">
                  <c:v>3728.7469999999998</c:v>
                </c:pt>
                <c:pt idx="6">
                  <c:v>4501.657666666667</c:v>
                </c:pt>
                <c:pt idx="7">
                  <c:v>3588.9176666666663</c:v>
                </c:pt>
                <c:pt idx="8">
                  <c:v>2379.2313333333336</c:v>
                </c:pt>
                <c:pt idx="9">
                  <c:v>1485.104</c:v>
                </c:pt>
                <c:pt idx="10">
                  <c:v>3026.2488333333336</c:v>
                </c:pt>
                <c:pt idx="11">
                  <c:v>4880.1324999999997</c:v>
                </c:pt>
              </c:numCache>
            </c:numRef>
          </c:xVal>
          <c:yVal>
            <c:numRef>
              <c:f>REG!$D$55:$D$66</c:f>
              <c:numCache>
                <c:formatCode>0.0</c:formatCode>
                <c:ptCount val="12"/>
                <c:pt idx="0">
                  <c:v>7.2148333333333339</c:v>
                </c:pt>
                <c:pt idx="1">
                  <c:v>10.174666666666667</c:v>
                </c:pt>
                <c:pt idx="2">
                  <c:v>12.997833333333332</c:v>
                </c:pt>
                <c:pt idx="3">
                  <c:v>7.9683333333333337</c:v>
                </c:pt>
                <c:pt idx="4">
                  <c:v>12.591833333333334</c:v>
                </c:pt>
                <c:pt idx="5">
                  <c:v>9.4113333333333333</c:v>
                </c:pt>
                <c:pt idx="6">
                  <c:v>11.574</c:v>
                </c:pt>
                <c:pt idx="7">
                  <c:v>7.9443333333333328</c:v>
                </c:pt>
                <c:pt idx="8">
                  <c:v>5.7323333333333331</c:v>
                </c:pt>
                <c:pt idx="9">
                  <c:v>4.1315</c:v>
                </c:pt>
                <c:pt idx="10">
                  <c:v>6.8765000000000001</c:v>
                </c:pt>
                <c:pt idx="11">
                  <c:v>11.391500000000001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7-4694-92D6-38F3ECA07867}"/>
            </c:ext>
          </c:extLst>
        </c:ser>
        <c:ser>
          <c:idx val="1"/>
          <c:order val="1"/>
          <c:tx>
            <c:strRef>
              <c:f>REG!$E$54</c:f>
              <c:strCache>
                <c:ptCount val="1"/>
                <c:pt idx="0">
                  <c:v>SCV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REG!$B$55:$B$66</c:f>
              <c:numCache>
                <c:formatCode>0.0</c:formatCode>
                <c:ptCount val="12"/>
                <c:pt idx="0">
                  <c:v>3063.5766666666664</c:v>
                </c:pt>
                <c:pt idx="1">
                  <c:v>4578.5826666666662</c:v>
                </c:pt>
                <c:pt idx="2">
                  <c:v>5951.1793333333335</c:v>
                </c:pt>
                <c:pt idx="3">
                  <c:v>3292.7191666666663</c:v>
                </c:pt>
                <c:pt idx="4">
                  <c:v>5722.6808333333329</c:v>
                </c:pt>
                <c:pt idx="5">
                  <c:v>3728.7469999999998</c:v>
                </c:pt>
                <c:pt idx="6">
                  <c:v>4501.657666666667</c:v>
                </c:pt>
                <c:pt idx="7">
                  <c:v>3588.9176666666663</c:v>
                </c:pt>
                <c:pt idx="8">
                  <c:v>2379.2313333333336</c:v>
                </c:pt>
                <c:pt idx="9">
                  <c:v>1485.104</c:v>
                </c:pt>
                <c:pt idx="10">
                  <c:v>3026.2488333333336</c:v>
                </c:pt>
                <c:pt idx="11">
                  <c:v>4880.1324999999997</c:v>
                </c:pt>
              </c:numCache>
            </c:numRef>
          </c:xVal>
          <c:yVal>
            <c:numRef>
              <c:f>REG!$E$55:$E$66</c:f>
              <c:numCache>
                <c:formatCode>0.0</c:formatCode>
                <c:ptCount val="12"/>
                <c:pt idx="0">
                  <c:v>6.0246666666666675</c:v>
                </c:pt>
                <c:pt idx="1">
                  <c:v>7.1318333333333328</c:v>
                </c:pt>
                <c:pt idx="2">
                  <c:v>7.7138333333333335</c:v>
                </c:pt>
                <c:pt idx="3">
                  <c:v>4.9576666666666673</c:v>
                </c:pt>
                <c:pt idx="4">
                  <c:v>8.910166666666667</c:v>
                </c:pt>
                <c:pt idx="5">
                  <c:v>5.9115000000000002</c:v>
                </c:pt>
                <c:pt idx="6">
                  <c:v>7.0473333333333317</c:v>
                </c:pt>
                <c:pt idx="7">
                  <c:v>5.2690000000000001</c:v>
                </c:pt>
                <c:pt idx="8">
                  <c:v>3.8155000000000001</c:v>
                </c:pt>
                <c:pt idx="9">
                  <c:v>3.5611666666666668</c:v>
                </c:pt>
                <c:pt idx="10">
                  <c:v>3.8121666666666663</c:v>
                </c:pt>
                <c:pt idx="11">
                  <c:v>7.2283333333333344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47-4694-92D6-38F3ECA0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95568"/>
        <c:axId val="435892616"/>
      </c:scatterChart>
      <c:valAx>
        <c:axId val="435895568"/>
        <c:scaling>
          <c:orientation val="minMax"/>
          <c:max val="65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2616"/>
        <c:crosses val="autoZero"/>
        <c:crossBetween val="midCat"/>
      </c:valAx>
      <c:valAx>
        <c:axId val="43589261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895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549153299133533"/>
          <c:y val="0.14351851851851852"/>
          <c:w val="0.82395282101845957"/>
          <c:h val="0.64695629829488099"/>
        </c:manualLayout>
      </c:layout>
      <c:lineChart>
        <c:grouping val="standard"/>
        <c:varyColors val="0"/>
        <c:ser>
          <c:idx val="0"/>
          <c:order val="0"/>
          <c:tx>
            <c:strRef>
              <c:f>'for R'!$L$3</c:f>
              <c:strCache>
                <c:ptCount val="1"/>
                <c:pt idx="0">
                  <c:v>first period (2000/2001-2011/2012)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'for R'!$K$4:$K$15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'for R'!$L$4:$L$15</c:f>
              <c:numCache>
                <c:formatCode>0.0</c:formatCode>
                <c:ptCount val="12"/>
                <c:pt idx="0">
                  <c:v>3063.5766666666664</c:v>
                </c:pt>
                <c:pt idx="1">
                  <c:v>4578.5826666666662</c:v>
                </c:pt>
                <c:pt idx="2">
                  <c:v>5951.1793333333335</c:v>
                </c:pt>
                <c:pt idx="3">
                  <c:v>3292.7191666666663</c:v>
                </c:pt>
                <c:pt idx="4">
                  <c:v>5722.6808333333329</c:v>
                </c:pt>
                <c:pt idx="5">
                  <c:v>3728.7469999999998</c:v>
                </c:pt>
                <c:pt idx="6">
                  <c:v>4501.657666666667</c:v>
                </c:pt>
                <c:pt idx="7">
                  <c:v>3588.9176666666663</c:v>
                </c:pt>
                <c:pt idx="8">
                  <c:v>2379.2313333333336</c:v>
                </c:pt>
                <c:pt idx="9">
                  <c:v>1485.104</c:v>
                </c:pt>
                <c:pt idx="10">
                  <c:v>3026.2488333333336</c:v>
                </c:pt>
                <c:pt idx="11">
                  <c:v>4880.1324999999997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F-4243-BB73-EED5D13E2C29}"/>
            </c:ext>
          </c:extLst>
        </c:ser>
        <c:ser>
          <c:idx val="1"/>
          <c:order val="1"/>
          <c:tx>
            <c:strRef>
              <c:f>'for R'!$M$3</c:f>
              <c:strCache>
                <c:ptCount val="1"/>
                <c:pt idx="0">
                  <c:v>second period (2011/2012-2023/2024)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'for R'!$K$4:$K$15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'for R'!$M$4:$M$15</c:f>
              <c:numCache>
                <c:formatCode>0.0</c:formatCode>
                <c:ptCount val="12"/>
                <c:pt idx="0">
                  <c:v>4179.4073333333336</c:v>
                </c:pt>
                <c:pt idx="1">
                  <c:v>2856.2886666666673</c:v>
                </c:pt>
                <c:pt idx="2">
                  <c:v>2591.2926666666667</c:v>
                </c:pt>
                <c:pt idx="3">
                  <c:v>3178.8296666666665</c:v>
                </c:pt>
                <c:pt idx="4">
                  <c:v>3464.1928333333331</c:v>
                </c:pt>
                <c:pt idx="5">
                  <c:v>1484.448166666667</c:v>
                </c:pt>
                <c:pt idx="6">
                  <c:v>3577.9950000000003</c:v>
                </c:pt>
                <c:pt idx="7">
                  <c:v>3929.9198333333334</c:v>
                </c:pt>
                <c:pt idx="8">
                  <c:v>1973.9233333333332</c:v>
                </c:pt>
                <c:pt idx="9">
                  <c:v>4712.4158333333335</c:v>
                </c:pt>
                <c:pt idx="10">
                  <c:v>2119.2635</c:v>
                </c:pt>
                <c:pt idx="11">
                  <c:v>1934.4783333333335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F-4243-BB73-EED5D13E2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972632"/>
        <c:axId val="418972304"/>
      </c:lineChart>
      <c:catAx>
        <c:axId val="418972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year sequence </a:t>
                </a:r>
              </a:p>
            </c:rich>
          </c:tx>
          <c:layout>
            <c:manualLayout>
              <c:xMode val="edge"/>
              <c:yMode val="edge"/>
              <c:x val="0.44303798410313888"/>
              <c:y val="0.879258530183726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2304"/>
        <c:crosses val="autoZero"/>
        <c:auto val="1"/>
        <c:lblAlgn val="ctr"/>
        <c:lblOffset val="100"/>
        <c:noMultiLvlLbl val="0"/>
      </c:catAx>
      <c:valAx>
        <c:axId val="418972304"/>
        <c:scaling>
          <c:orientation val="minMax"/>
          <c:max val="7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snow cover area (km</a:t>
                </a:r>
                <a:r>
                  <a:rPr lang="en-US" sz="1050" baseline="30000">
                    <a:solidFill>
                      <a:sysClr val="windowText" lastClr="000000"/>
                    </a:solidFill>
                  </a:rPr>
                  <a:t>2</a:t>
                </a:r>
                <a:r>
                  <a:rPr lang="en-US" sz="1050">
                    <a:solidFill>
                      <a:sysClr val="windowText" lastClr="000000"/>
                    </a:solidFill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2.7064661808000521E-2"/>
              <c:y val="0.24040864683581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972632"/>
        <c:crosses val="autoZero"/>
        <c:crossBetween val="between"/>
        <c:majorUnit val="1000"/>
        <c:minorUnit val="200"/>
      </c:valAx>
      <c:spPr>
        <a:noFill/>
        <a:ln>
          <a:solidFill>
            <a:schemeClr val="accent4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500806935459117"/>
          <c:y val="4.2244736890406184E-2"/>
          <c:w val="0.85142304347219444"/>
          <c:h val="8.4302626507350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6.png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425450</xdr:colOff>
      <xdr:row>26</xdr:row>
      <xdr:rowOff>139700</xdr:rowOff>
    </xdr:from>
    <xdr:to>
      <xdr:col>18</xdr:col>
      <xdr:colOff>527050</xdr:colOff>
      <xdr:row>41</xdr:row>
      <xdr:rowOff>120650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381000</xdr:colOff>
      <xdr:row>56</xdr:row>
      <xdr:rowOff>177800</xdr:rowOff>
    </xdr:from>
    <xdr:to>
      <xdr:col>18</xdr:col>
      <xdr:colOff>482600</xdr:colOff>
      <xdr:row>73</xdr:row>
      <xdr:rowOff>107950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730250</xdr:colOff>
      <xdr:row>57</xdr:row>
      <xdr:rowOff>50800</xdr:rowOff>
    </xdr:from>
    <xdr:to>
      <xdr:col>25</xdr:col>
      <xdr:colOff>209550</xdr:colOff>
      <xdr:row>72</xdr:row>
      <xdr:rowOff>31750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</xdr:row>
      <xdr:rowOff>0</xdr:rowOff>
    </xdr:from>
    <xdr:to>
      <xdr:col>12</xdr:col>
      <xdr:colOff>432020</xdr:colOff>
      <xdr:row>19</xdr:row>
      <xdr:rowOff>63645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0950" y="736600"/>
          <a:ext cx="4273770" cy="2825895"/>
        </a:xfrm>
        <a:prstGeom prst="rect">
          <a:avLst/>
        </a:prstGeom>
      </xdr:spPr>
    </xdr:pic>
    <xdr:clientData/>
  </xdr:twoCellAnchor>
  <xdr:twoCellAnchor editAs="oneCell">
    <xdr:from>
      <xdr:col>6</xdr:col>
      <xdr:colOff>774700</xdr:colOff>
      <xdr:row>20</xdr:row>
      <xdr:rowOff>88900</xdr:rowOff>
    </xdr:from>
    <xdr:to>
      <xdr:col>13</xdr:col>
      <xdr:colOff>57342</xdr:colOff>
      <xdr:row>41</xdr:row>
      <xdr:rowOff>89099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5650" y="3771900"/>
          <a:ext cx="3733992" cy="386734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  <xdr:twoCellAnchor editAs="oneCell">
    <xdr:from>
      <xdr:col>0</xdr:col>
      <xdr:colOff>692150</xdr:colOff>
      <xdr:row>41</xdr:row>
      <xdr:rowOff>165100</xdr:rowOff>
    </xdr:from>
    <xdr:to>
      <xdr:col>5</xdr:col>
      <xdr:colOff>514570</xdr:colOff>
      <xdr:row>58</xdr:row>
      <xdr:rowOff>127159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7715250"/>
          <a:ext cx="4273770" cy="3092609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6</xdr:col>
      <xdr:colOff>787400</xdr:colOff>
      <xdr:row>44</xdr:row>
      <xdr:rowOff>67450</xdr:rowOff>
    </xdr:from>
    <xdr:to>
      <xdr:col>14</xdr:col>
      <xdr:colOff>470144</xdr:colOff>
      <xdr:row>58</xdr:row>
      <xdr:rowOff>124735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50" y="8170050"/>
          <a:ext cx="4743694" cy="2635385"/>
        </a:xfrm>
        <a:prstGeom prst="rect">
          <a:avLst/>
        </a:prstGeom>
        <a:ln w="889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  <xdr:twoCellAnchor editAs="oneCell">
    <xdr:from>
      <xdr:col>0</xdr:col>
      <xdr:colOff>196850</xdr:colOff>
      <xdr:row>19</xdr:row>
      <xdr:rowOff>101600</xdr:rowOff>
    </xdr:from>
    <xdr:to>
      <xdr:col>6</xdr:col>
      <xdr:colOff>470174</xdr:colOff>
      <xdr:row>36</xdr:row>
      <xdr:rowOff>158914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0" y="3600450"/>
          <a:ext cx="5334274" cy="3187864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603250</xdr:colOff>
      <xdr:row>0</xdr:row>
      <xdr:rowOff>0</xdr:rowOff>
    </xdr:from>
    <xdr:to>
      <xdr:col>16</xdr:col>
      <xdr:colOff>341977</xdr:colOff>
      <xdr:row>9</xdr:row>
      <xdr:rowOff>31960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0" y="0"/>
          <a:ext cx="3396327" cy="1740110"/>
        </a:xfrm>
        <a:prstGeom prst="rect">
          <a:avLst/>
        </a:prstGeom>
      </xdr:spPr>
    </xdr:pic>
    <xdr:clientData/>
  </xdr:twoCellAnchor>
  <xdr:twoCellAnchor>
    <xdr:from>
      <xdr:col>4</xdr:col>
      <xdr:colOff>396875</xdr:colOff>
      <xdr:row>17</xdr:row>
      <xdr:rowOff>127000</xdr:rowOff>
    </xdr:from>
    <xdr:to>
      <xdr:col>10</xdr:col>
      <xdr:colOff>523875</xdr:colOff>
      <xdr:row>29</xdr:row>
      <xdr:rowOff>647700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11</xdr:col>
      <xdr:colOff>177800</xdr:colOff>
      <xdr:row>48</xdr:row>
      <xdr:rowOff>165100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1104900</xdr:colOff>
      <xdr:row>52</xdr:row>
      <xdr:rowOff>177800</xdr:rowOff>
    </xdr:from>
    <xdr:to>
      <xdr:col>14</xdr:col>
      <xdr:colOff>63500</xdr:colOff>
      <xdr:row>67</xdr:row>
      <xdr:rowOff>158750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44450</xdr:rowOff>
    </xdr:from>
    <xdr:to>
      <xdr:col>17</xdr:col>
      <xdr:colOff>358775</xdr:colOff>
      <xdr:row>30</xdr:row>
      <xdr:rowOff>6350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workbookViewId="0">
      <selection activeCell="E3" sqref="E3:E4"/>
    </sheetView>
  </sheetViews>
  <sheetFormatPr defaultRowHeight="14.5" x14ac:dyDescent="0.35"/>
  <cols>
    <col min="1" max="1" width="10.08984375" customWidth="1"/>
  </cols>
  <sheetData>
    <row r="1" spans="1:16" x14ac:dyDescent="0.35">
      <c r="A1" t="s">
        <v>0</v>
      </c>
      <c r="B1" t="s">
        <v>1</v>
      </c>
      <c r="I1" t="s">
        <v>0</v>
      </c>
      <c r="J1" t="s">
        <v>1</v>
      </c>
    </row>
    <row r="2" spans="1:16" x14ac:dyDescent="0.35">
      <c r="A2" t="s">
        <v>2</v>
      </c>
      <c r="B2">
        <v>1.6819999999999999</v>
      </c>
      <c r="I2" t="s">
        <v>74</v>
      </c>
      <c r="J2">
        <v>3.1E-2</v>
      </c>
    </row>
    <row r="3" spans="1:16" x14ac:dyDescent="0.35">
      <c r="A3" t="s">
        <v>3</v>
      </c>
      <c r="B3">
        <v>101.711</v>
      </c>
      <c r="E3" s="2" t="s">
        <v>241</v>
      </c>
      <c r="I3" t="s">
        <v>75</v>
      </c>
      <c r="J3">
        <v>292.82299999999998</v>
      </c>
    </row>
    <row r="4" spans="1:16" x14ac:dyDescent="0.35">
      <c r="A4" t="s">
        <v>4</v>
      </c>
      <c r="B4" s="1">
        <v>4434.0389999999998</v>
      </c>
      <c r="D4">
        <f>AVERAGE(B2:B7)</f>
        <v>3063.5766666666664</v>
      </c>
      <c r="E4" s="3">
        <f>AVERAGE(B5,B11,B17,B23,B29,B35,B41,B47,B53,B59,B65,B71)</f>
        <v>7883.2784166666679</v>
      </c>
      <c r="G4" s="2">
        <f>AVERAGE(D4,D10,D16,D22,D28,D34,D40,D46,D52,D58,D64,D70)</f>
        <v>3849.8981388888883</v>
      </c>
      <c r="I4" t="s">
        <v>76</v>
      </c>
      <c r="J4" s="1">
        <v>2926.13</v>
      </c>
      <c r="L4">
        <v>4179.4065000000001</v>
      </c>
    </row>
    <row r="5" spans="1:16" x14ac:dyDescent="0.35">
      <c r="A5" t="s">
        <v>5</v>
      </c>
      <c r="B5" s="1">
        <v>6367.9390000000003</v>
      </c>
      <c r="I5" t="s">
        <v>77</v>
      </c>
      <c r="J5" s="1">
        <v>13741.03</v>
      </c>
    </row>
    <row r="6" spans="1:16" x14ac:dyDescent="0.35">
      <c r="A6" t="s">
        <v>6</v>
      </c>
      <c r="B6" s="1">
        <v>5937.02</v>
      </c>
      <c r="I6" t="s">
        <v>78</v>
      </c>
      <c r="J6" s="1">
        <v>5737.54</v>
      </c>
    </row>
    <row r="7" spans="1:16" x14ac:dyDescent="0.35">
      <c r="A7" t="s">
        <v>7</v>
      </c>
      <c r="B7" s="1">
        <v>1539.069</v>
      </c>
      <c r="I7" t="s">
        <v>79</v>
      </c>
      <c r="J7" s="1">
        <v>2378.89</v>
      </c>
    </row>
    <row r="8" spans="1:16" x14ac:dyDescent="0.35">
      <c r="A8" t="s">
        <v>8</v>
      </c>
      <c r="B8">
        <v>0</v>
      </c>
      <c r="I8" t="s">
        <v>80</v>
      </c>
      <c r="J8">
        <v>0</v>
      </c>
    </row>
    <row r="9" spans="1:16" x14ac:dyDescent="0.35">
      <c r="A9" t="s">
        <v>9</v>
      </c>
      <c r="B9" s="1">
        <v>2039.249</v>
      </c>
      <c r="I9" t="s">
        <v>81</v>
      </c>
      <c r="J9">
        <v>111.27200000000001</v>
      </c>
    </row>
    <row r="10" spans="1:16" x14ac:dyDescent="0.35">
      <c r="A10" t="s">
        <v>10</v>
      </c>
      <c r="B10" s="1">
        <v>3357.011</v>
      </c>
      <c r="D10">
        <f>AVERAGE(B8:B13)</f>
        <v>4578.5826666666662</v>
      </c>
      <c r="I10" t="s">
        <v>82</v>
      </c>
      <c r="J10" s="1">
        <v>9571.0400000000009</v>
      </c>
      <c r="L10">
        <v>2856.288333</v>
      </c>
      <c r="P10" s="2">
        <v>3000.204236</v>
      </c>
    </row>
    <row r="11" spans="1:16" x14ac:dyDescent="0.35">
      <c r="A11" t="s">
        <v>11</v>
      </c>
      <c r="B11" s="1">
        <v>13520.546</v>
      </c>
      <c r="I11" t="s">
        <v>83</v>
      </c>
      <c r="J11" s="1">
        <v>3652.11</v>
      </c>
    </row>
    <row r="12" spans="1:16" x14ac:dyDescent="0.35">
      <c r="A12" t="s">
        <v>12</v>
      </c>
      <c r="B12" s="1">
        <v>6483.2839999999997</v>
      </c>
      <c r="I12" t="s">
        <v>84</v>
      </c>
      <c r="J12" s="1">
        <v>2380.7800000000002</v>
      </c>
    </row>
    <row r="13" spans="1:16" x14ac:dyDescent="0.35">
      <c r="A13" t="s">
        <v>13</v>
      </c>
      <c r="B13" s="1">
        <v>2071.4059999999999</v>
      </c>
      <c r="I13" t="s">
        <v>85</v>
      </c>
      <c r="J13" s="1">
        <v>1422.53</v>
      </c>
    </row>
    <row r="14" spans="1:16" x14ac:dyDescent="0.35">
      <c r="A14" t="s">
        <v>14</v>
      </c>
      <c r="B14">
        <v>0</v>
      </c>
      <c r="I14" t="s">
        <v>86</v>
      </c>
      <c r="J14">
        <v>30.748000000000001</v>
      </c>
    </row>
    <row r="15" spans="1:16" x14ac:dyDescent="0.35">
      <c r="A15" t="s">
        <v>15</v>
      </c>
      <c r="B15">
        <v>255.899</v>
      </c>
      <c r="I15" t="s">
        <v>87</v>
      </c>
      <c r="J15">
        <v>999.85799999999995</v>
      </c>
    </row>
    <row r="16" spans="1:16" x14ac:dyDescent="0.35">
      <c r="A16" t="s">
        <v>16</v>
      </c>
      <c r="B16" s="1">
        <v>12274.308000000001</v>
      </c>
      <c r="D16">
        <f>AVERAGE(B14:B19)</f>
        <v>5951.1793333333335</v>
      </c>
      <c r="I16" t="s">
        <v>88</v>
      </c>
      <c r="J16" s="1">
        <v>2027.74</v>
      </c>
      <c r="L16">
        <v>2591.2935000000002</v>
      </c>
    </row>
    <row r="17" spans="1:12" x14ac:dyDescent="0.35">
      <c r="A17" t="s">
        <v>17</v>
      </c>
      <c r="B17" s="1">
        <v>7468.3389999999999</v>
      </c>
      <c r="I17" t="s">
        <v>89</v>
      </c>
      <c r="J17" s="1">
        <v>7169.01</v>
      </c>
    </row>
    <row r="18" spans="1:12" x14ac:dyDescent="0.35">
      <c r="A18" t="s">
        <v>18</v>
      </c>
      <c r="B18" s="1">
        <v>9727.9930000000004</v>
      </c>
      <c r="I18" t="s">
        <v>90</v>
      </c>
      <c r="J18" s="1">
        <v>3423.15</v>
      </c>
    </row>
    <row r="19" spans="1:12" x14ac:dyDescent="0.35">
      <c r="A19" t="s">
        <v>19</v>
      </c>
      <c r="B19" s="1">
        <v>5980.5370000000003</v>
      </c>
      <c r="I19" t="s">
        <v>91</v>
      </c>
      <c r="J19" s="1">
        <v>1897.25</v>
      </c>
    </row>
    <row r="20" spans="1:12" x14ac:dyDescent="0.35">
      <c r="A20" t="s">
        <v>20</v>
      </c>
      <c r="B20">
        <v>0</v>
      </c>
      <c r="I20" t="s">
        <v>92</v>
      </c>
      <c r="J20">
        <v>0</v>
      </c>
    </row>
    <row r="21" spans="1:12" x14ac:dyDescent="0.35">
      <c r="A21" t="s">
        <v>21</v>
      </c>
      <c r="B21">
        <v>262.64499999999998</v>
      </c>
      <c r="I21" t="s">
        <v>93</v>
      </c>
      <c r="J21">
        <v>734.40800000000002</v>
      </c>
    </row>
    <row r="22" spans="1:12" x14ac:dyDescent="0.35">
      <c r="A22" t="s">
        <v>22</v>
      </c>
      <c r="B22" s="1">
        <v>2306.0949999999998</v>
      </c>
      <c r="D22">
        <f>AVERAGE(B20:B25)</f>
        <v>3292.7191666666663</v>
      </c>
      <c r="I22" t="s">
        <v>94</v>
      </c>
      <c r="J22" s="1">
        <v>2980.61</v>
      </c>
      <c r="L22">
        <v>3178.8294999999998</v>
      </c>
    </row>
    <row r="23" spans="1:12" x14ac:dyDescent="0.35">
      <c r="A23" t="s">
        <v>23</v>
      </c>
      <c r="B23" s="1">
        <v>5990.4189999999999</v>
      </c>
      <c r="I23" t="s">
        <v>95</v>
      </c>
      <c r="J23" s="1">
        <v>8867.5300000000007</v>
      </c>
    </row>
    <row r="24" spans="1:12" x14ac:dyDescent="0.35">
      <c r="A24" t="s">
        <v>24</v>
      </c>
      <c r="B24" s="1">
        <v>9445.6440000000002</v>
      </c>
      <c r="I24" t="s">
        <v>96</v>
      </c>
      <c r="J24" s="1">
        <v>4673.49</v>
      </c>
    </row>
    <row r="25" spans="1:12" x14ac:dyDescent="0.35">
      <c r="A25" t="s">
        <v>25</v>
      </c>
      <c r="B25" s="1">
        <v>1751.5119999999999</v>
      </c>
      <c r="I25" t="s">
        <v>97</v>
      </c>
      <c r="J25" s="1">
        <v>1816.94</v>
      </c>
    </row>
    <row r="26" spans="1:12" x14ac:dyDescent="0.35">
      <c r="A26" t="s">
        <v>26</v>
      </c>
      <c r="B26">
        <v>0</v>
      </c>
      <c r="I26" t="s">
        <v>98</v>
      </c>
      <c r="J26">
        <v>0</v>
      </c>
    </row>
    <row r="27" spans="1:12" x14ac:dyDescent="0.35">
      <c r="A27" t="s">
        <v>27</v>
      </c>
      <c r="B27" s="1">
        <v>2368.451</v>
      </c>
      <c r="I27" t="s">
        <v>99</v>
      </c>
      <c r="J27">
        <v>125.827</v>
      </c>
    </row>
    <row r="28" spans="1:12" x14ac:dyDescent="0.35">
      <c r="A28" t="s">
        <v>28</v>
      </c>
      <c r="B28" s="1">
        <v>4190.51</v>
      </c>
      <c r="D28">
        <f>AVERAGE(B26:B31)</f>
        <v>5722.6808333333329</v>
      </c>
      <c r="I28" t="s">
        <v>100</v>
      </c>
      <c r="J28" s="1">
        <v>5411.15</v>
      </c>
      <c r="L28">
        <v>3464.1906669999998</v>
      </c>
    </row>
    <row r="29" spans="1:12" x14ac:dyDescent="0.35">
      <c r="A29" t="s">
        <v>29</v>
      </c>
      <c r="B29" s="1">
        <v>9710.7240000000002</v>
      </c>
      <c r="I29" t="s">
        <v>101</v>
      </c>
      <c r="J29" s="1">
        <v>3788.98</v>
      </c>
    </row>
    <row r="30" spans="1:12" x14ac:dyDescent="0.35">
      <c r="A30" t="s">
        <v>30</v>
      </c>
      <c r="B30" s="1">
        <v>15640.946</v>
      </c>
      <c r="I30" t="s">
        <v>102</v>
      </c>
      <c r="J30" s="1">
        <v>8899.5499999999993</v>
      </c>
    </row>
    <row r="31" spans="1:12" x14ac:dyDescent="0.35">
      <c r="A31" t="s">
        <v>31</v>
      </c>
      <c r="B31" s="1">
        <v>2425.4540000000002</v>
      </c>
      <c r="I31" t="s">
        <v>103</v>
      </c>
      <c r="J31" s="1">
        <v>2559.65</v>
      </c>
    </row>
    <row r="32" spans="1:12" x14ac:dyDescent="0.35">
      <c r="A32" t="s">
        <v>32</v>
      </c>
      <c r="B32">
        <v>6.577</v>
      </c>
      <c r="I32" t="s">
        <v>104</v>
      </c>
      <c r="J32">
        <v>0</v>
      </c>
    </row>
    <row r="33" spans="1:12" x14ac:dyDescent="0.35">
      <c r="A33" t="s">
        <v>33</v>
      </c>
      <c r="B33">
        <v>499.60399999999998</v>
      </c>
      <c r="I33" t="s">
        <v>105</v>
      </c>
      <c r="J33">
        <v>344.67899999999997</v>
      </c>
    </row>
    <row r="34" spans="1:12" x14ac:dyDescent="0.35">
      <c r="A34" t="s">
        <v>34</v>
      </c>
      <c r="B34" s="1">
        <v>1018.571</v>
      </c>
      <c r="D34">
        <f>AVERAGE(B32:B37)</f>
        <v>3728.7469999999998</v>
      </c>
      <c r="I34" t="s">
        <v>106</v>
      </c>
      <c r="J34" s="1">
        <v>2075.42</v>
      </c>
      <c r="L34">
        <v>1484.4476669999999</v>
      </c>
    </row>
    <row r="35" spans="1:12" x14ac:dyDescent="0.35">
      <c r="A35" t="s">
        <v>35</v>
      </c>
      <c r="B35" s="1">
        <v>10319.092000000001</v>
      </c>
      <c r="I35" t="s">
        <v>107</v>
      </c>
      <c r="J35" s="1">
        <v>3251.94</v>
      </c>
    </row>
    <row r="36" spans="1:12" x14ac:dyDescent="0.35">
      <c r="A36" t="s">
        <v>36</v>
      </c>
      <c r="B36" s="1">
        <v>7655.4040000000005</v>
      </c>
      <c r="I36" t="s">
        <v>108</v>
      </c>
      <c r="J36" s="1">
        <v>2357.5300000000002</v>
      </c>
    </row>
    <row r="37" spans="1:12" x14ac:dyDescent="0.35">
      <c r="A37" t="s">
        <v>37</v>
      </c>
      <c r="B37" s="1">
        <v>2873.2339999999999</v>
      </c>
      <c r="I37" t="s">
        <v>109</v>
      </c>
      <c r="J37">
        <v>877.12</v>
      </c>
    </row>
    <row r="38" spans="1:12" x14ac:dyDescent="0.35">
      <c r="A38" t="s">
        <v>38</v>
      </c>
      <c r="B38">
        <v>0.623</v>
      </c>
      <c r="I38" t="s">
        <v>110</v>
      </c>
      <c r="J38">
        <v>2.274</v>
      </c>
    </row>
    <row r="39" spans="1:12" x14ac:dyDescent="0.35">
      <c r="A39" t="s">
        <v>39</v>
      </c>
      <c r="B39">
        <v>859.029</v>
      </c>
      <c r="I39" t="s">
        <v>111</v>
      </c>
      <c r="J39">
        <v>344.01600000000002</v>
      </c>
    </row>
    <row r="40" spans="1:12" x14ac:dyDescent="0.35">
      <c r="A40" t="s">
        <v>40</v>
      </c>
      <c r="B40" s="1">
        <v>1018.773</v>
      </c>
      <c r="D40">
        <f>AVERAGE(B38:B43)</f>
        <v>4501.657666666667</v>
      </c>
      <c r="I40" t="s">
        <v>112</v>
      </c>
      <c r="J40" s="1">
        <v>3007.08</v>
      </c>
      <c r="L40">
        <v>3577.9949999999999</v>
      </c>
    </row>
    <row r="41" spans="1:12" x14ac:dyDescent="0.35">
      <c r="A41" t="s">
        <v>41</v>
      </c>
      <c r="B41" s="1">
        <v>13222.46</v>
      </c>
      <c r="I41" t="s">
        <v>113</v>
      </c>
      <c r="J41" s="1">
        <v>9867.42</v>
      </c>
    </row>
    <row r="42" spans="1:12" x14ac:dyDescent="0.35">
      <c r="A42" t="s">
        <v>42</v>
      </c>
      <c r="B42" s="1">
        <v>8703.8289999999997</v>
      </c>
      <c r="I42" t="s">
        <v>114</v>
      </c>
      <c r="J42" s="1">
        <v>4164.53</v>
      </c>
    </row>
    <row r="43" spans="1:12" x14ac:dyDescent="0.35">
      <c r="A43" t="s">
        <v>43</v>
      </c>
      <c r="B43" s="1">
        <v>3205.232</v>
      </c>
      <c r="I43" t="s">
        <v>115</v>
      </c>
      <c r="J43" s="1">
        <v>4082.65</v>
      </c>
    </row>
    <row r="44" spans="1:12" x14ac:dyDescent="0.35">
      <c r="A44" t="s">
        <v>44</v>
      </c>
      <c r="B44">
        <v>0</v>
      </c>
      <c r="I44" t="s">
        <v>116</v>
      </c>
      <c r="J44">
        <v>0</v>
      </c>
    </row>
    <row r="45" spans="1:12" x14ac:dyDescent="0.35">
      <c r="A45" t="s">
        <v>45</v>
      </c>
      <c r="B45">
        <v>393.88799999999998</v>
      </c>
      <c r="I45" t="s">
        <v>117</v>
      </c>
      <c r="J45">
        <v>25.219000000000001</v>
      </c>
    </row>
    <row r="46" spans="1:12" x14ac:dyDescent="0.35">
      <c r="A46" t="s">
        <v>46</v>
      </c>
      <c r="B46" s="1">
        <v>2107.1329999999998</v>
      </c>
      <c r="D46">
        <f>AVERAGE(B44:B49)</f>
        <v>3588.9176666666663</v>
      </c>
      <c r="I46" t="s">
        <v>118</v>
      </c>
      <c r="J46" s="1">
        <v>1907.17</v>
      </c>
      <c r="L46">
        <v>3929.9198329999999</v>
      </c>
    </row>
    <row r="47" spans="1:12" x14ac:dyDescent="0.35">
      <c r="A47" t="s">
        <v>47</v>
      </c>
      <c r="B47" s="1">
        <v>6639.607</v>
      </c>
      <c r="I47" t="s">
        <v>119</v>
      </c>
      <c r="J47" s="1">
        <v>8879.0499999999993</v>
      </c>
    </row>
    <row r="48" spans="1:12" x14ac:dyDescent="0.35">
      <c r="A48" t="s">
        <v>48</v>
      </c>
      <c r="B48" s="1">
        <v>10474.849</v>
      </c>
      <c r="I48" t="s">
        <v>120</v>
      </c>
      <c r="J48" s="1">
        <v>10190.02</v>
      </c>
    </row>
    <row r="49" spans="1:12" x14ac:dyDescent="0.35">
      <c r="A49" t="s">
        <v>49</v>
      </c>
      <c r="B49" s="1">
        <v>1918.029</v>
      </c>
      <c r="I49" t="s">
        <v>121</v>
      </c>
      <c r="J49" s="1">
        <v>2578.06</v>
      </c>
    </row>
    <row r="50" spans="1:12" x14ac:dyDescent="0.35">
      <c r="A50" t="s">
        <v>50</v>
      </c>
      <c r="B50">
        <v>0</v>
      </c>
      <c r="I50" t="s">
        <v>122</v>
      </c>
      <c r="J50">
        <v>0</v>
      </c>
    </row>
    <row r="51" spans="1:12" x14ac:dyDescent="0.35">
      <c r="A51" t="s">
        <v>51</v>
      </c>
      <c r="B51">
        <v>341.86799999999999</v>
      </c>
      <c r="I51" t="s">
        <v>123</v>
      </c>
      <c r="J51">
        <v>392.98</v>
      </c>
    </row>
    <row r="52" spans="1:12" x14ac:dyDescent="0.35">
      <c r="A52" t="s">
        <v>52</v>
      </c>
      <c r="B52" s="1">
        <v>1272.9100000000001</v>
      </c>
      <c r="D52">
        <f>AVERAGE(B50:B55)</f>
        <v>2379.2313333333336</v>
      </c>
      <c r="I52" t="s">
        <v>124</v>
      </c>
      <c r="J52" s="1">
        <v>1685.12</v>
      </c>
      <c r="L52">
        <v>1973.923</v>
      </c>
    </row>
    <row r="53" spans="1:12" x14ac:dyDescent="0.35">
      <c r="A53" t="s">
        <v>53</v>
      </c>
      <c r="B53" s="1">
        <v>7468.9269999999997</v>
      </c>
      <c r="I53" t="s">
        <v>125</v>
      </c>
      <c r="J53" s="1">
        <v>4510.05</v>
      </c>
    </row>
    <row r="54" spans="1:12" x14ac:dyDescent="0.35">
      <c r="A54" t="s">
        <v>54</v>
      </c>
      <c r="B54" s="1">
        <v>2647.3690000000001</v>
      </c>
      <c r="I54" t="s">
        <v>126</v>
      </c>
      <c r="J54" s="1">
        <v>3791.84</v>
      </c>
    </row>
    <row r="55" spans="1:12" x14ac:dyDescent="0.35">
      <c r="A55" t="s">
        <v>55</v>
      </c>
      <c r="B55" s="1">
        <v>2544.3139999999999</v>
      </c>
      <c r="I55" t="s">
        <v>127</v>
      </c>
      <c r="J55" s="1">
        <v>1463.55</v>
      </c>
    </row>
    <row r="56" spans="1:12" x14ac:dyDescent="0.35">
      <c r="A56" t="s">
        <v>56</v>
      </c>
      <c r="B56">
        <v>0</v>
      </c>
      <c r="I56" t="s">
        <v>128</v>
      </c>
      <c r="J56">
        <v>0</v>
      </c>
    </row>
    <row r="57" spans="1:12" x14ac:dyDescent="0.35">
      <c r="A57" t="s">
        <v>57</v>
      </c>
      <c r="B57">
        <v>944.85599999999999</v>
      </c>
      <c r="I57" t="s">
        <v>129</v>
      </c>
      <c r="J57">
        <v>85.254999999999995</v>
      </c>
    </row>
    <row r="58" spans="1:12" x14ac:dyDescent="0.35">
      <c r="A58" t="s">
        <v>58</v>
      </c>
      <c r="B58" s="1">
        <v>1950.9960000000001</v>
      </c>
      <c r="D58">
        <f>AVERAGE(B56:B61)</f>
        <v>1485.104</v>
      </c>
      <c r="I58" t="s">
        <v>130</v>
      </c>
      <c r="J58" s="1">
        <v>2658.98</v>
      </c>
      <c r="L58">
        <v>4712.414667</v>
      </c>
    </row>
    <row r="59" spans="1:12" x14ac:dyDescent="0.35">
      <c r="A59" t="s">
        <v>59</v>
      </c>
      <c r="B59" s="1">
        <v>2118.902</v>
      </c>
      <c r="I59" t="s">
        <v>131</v>
      </c>
      <c r="J59" s="1">
        <v>17550.03</v>
      </c>
    </row>
    <row r="60" spans="1:12" x14ac:dyDescent="0.35">
      <c r="A60" t="s">
        <v>60</v>
      </c>
      <c r="B60" s="1">
        <v>2827.3130000000001</v>
      </c>
      <c r="I60" t="s">
        <v>132</v>
      </c>
      <c r="J60" s="1">
        <v>5349.53</v>
      </c>
    </row>
    <row r="61" spans="1:12" x14ac:dyDescent="0.35">
      <c r="A61" t="s">
        <v>61</v>
      </c>
      <c r="B61" s="1">
        <v>1068.557</v>
      </c>
      <c r="I61" t="s">
        <v>133</v>
      </c>
      <c r="J61" s="1">
        <v>2630.7</v>
      </c>
    </row>
    <row r="62" spans="1:12" x14ac:dyDescent="0.35">
      <c r="A62" t="s">
        <v>62</v>
      </c>
      <c r="B62">
        <v>0</v>
      </c>
      <c r="I62" t="s">
        <v>134</v>
      </c>
      <c r="J62">
        <v>0.58699999999999997</v>
      </c>
    </row>
    <row r="63" spans="1:12" x14ac:dyDescent="0.35">
      <c r="A63" t="s">
        <v>63</v>
      </c>
      <c r="B63">
        <v>23.588000000000001</v>
      </c>
      <c r="I63" t="s">
        <v>135</v>
      </c>
      <c r="J63">
        <v>165.87899999999999</v>
      </c>
    </row>
    <row r="64" spans="1:12" x14ac:dyDescent="0.35">
      <c r="A64" t="s">
        <v>64</v>
      </c>
      <c r="B64">
        <v>885.55799999999999</v>
      </c>
      <c r="D64">
        <f>AVERAGE(B62:B67)</f>
        <v>3026.2488333333336</v>
      </c>
      <c r="I64" t="s">
        <v>136</v>
      </c>
      <c r="J64">
        <v>846.40499999999997</v>
      </c>
      <c r="L64">
        <v>2119.2636670000002</v>
      </c>
    </row>
    <row r="65" spans="1:12" x14ac:dyDescent="0.35">
      <c r="A65" t="s">
        <v>65</v>
      </c>
      <c r="B65" s="1">
        <v>6270.0469999999996</v>
      </c>
      <c r="I65" t="s">
        <v>137</v>
      </c>
      <c r="J65" s="1">
        <v>1982.77</v>
      </c>
    </row>
    <row r="66" spans="1:12" x14ac:dyDescent="0.35">
      <c r="A66" t="s">
        <v>66</v>
      </c>
      <c r="B66" s="1">
        <v>8634.3080000000009</v>
      </c>
      <c r="I66" t="s">
        <v>138</v>
      </c>
      <c r="J66" s="1">
        <v>7914.79</v>
      </c>
    </row>
    <row r="67" spans="1:12" x14ac:dyDescent="0.35">
      <c r="A67" t="s">
        <v>67</v>
      </c>
      <c r="B67" s="1">
        <v>2343.9920000000002</v>
      </c>
      <c r="I67" t="s">
        <v>139</v>
      </c>
      <c r="J67" s="1">
        <v>1805.15</v>
      </c>
    </row>
    <row r="68" spans="1:12" x14ac:dyDescent="0.35">
      <c r="A68" t="s">
        <v>68</v>
      </c>
      <c r="B68">
        <v>0</v>
      </c>
      <c r="I68" t="s">
        <v>140</v>
      </c>
      <c r="J68">
        <v>5.0000000000000001E-3</v>
      </c>
    </row>
    <row r="69" spans="1:12" x14ac:dyDescent="0.35">
      <c r="A69" t="s">
        <v>69</v>
      </c>
      <c r="B69">
        <v>937.952</v>
      </c>
      <c r="I69" t="s">
        <v>141</v>
      </c>
      <c r="J69">
        <v>509.66500000000002</v>
      </c>
    </row>
    <row r="70" spans="1:12" x14ac:dyDescent="0.35">
      <c r="A70" t="s">
        <v>70</v>
      </c>
      <c r="B70" s="1">
        <v>1811.04</v>
      </c>
      <c r="D70">
        <f>AVERAGE(B68:B73)</f>
        <v>4880.1324999999997</v>
      </c>
      <c r="I70" t="s">
        <v>142</v>
      </c>
      <c r="J70" s="1">
        <v>1200.8900000000001</v>
      </c>
      <c r="L70">
        <v>1934.4784999999999</v>
      </c>
    </row>
    <row r="71" spans="1:12" x14ac:dyDescent="0.35">
      <c r="A71" t="s">
        <v>71</v>
      </c>
      <c r="B71" s="1">
        <v>5502.3389999999999</v>
      </c>
      <c r="I71" t="s">
        <v>143</v>
      </c>
      <c r="J71" s="1">
        <v>4020.02</v>
      </c>
    </row>
    <row r="72" spans="1:12" x14ac:dyDescent="0.35">
      <c r="A72" t="s">
        <v>72</v>
      </c>
      <c r="B72" s="1">
        <v>10035.6</v>
      </c>
      <c r="I72" t="s">
        <v>144</v>
      </c>
      <c r="J72" s="1">
        <v>3673.53</v>
      </c>
    </row>
    <row r="73" spans="1:12" x14ac:dyDescent="0.35">
      <c r="A73" t="s">
        <v>73</v>
      </c>
      <c r="B73" s="1">
        <v>10993.864</v>
      </c>
      <c r="I73" t="s">
        <v>145</v>
      </c>
      <c r="J73" s="1">
        <v>2202.7600000000002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61" workbookViewId="0">
      <selection activeCell="K58" sqref="K58"/>
    </sheetView>
  </sheetViews>
  <sheetFormatPr defaultRowHeight="14.5" x14ac:dyDescent="0.35"/>
  <sheetData>
    <row r="1" spans="1:13" x14ac:dyDescent="0.35">
      <c r="A1" t="s">
        <v>0</v>
      </c>
      <c r="B1" t="s">
        <v>146</v>
      </c>
      <c r="H1" t="s">
        <v>0</v>
      </c>
      <c r="I1" t="s">
        <v>146</v>
      </c>
    </row>
    <row r="2" spans="1:13" x14ac:dyDescent="0.35">
      <c r="A2" t="s">
        <v>2</v>
      </c>
      <c r="B2" s="1">
        <v>3114.192</v>
      </c>
      <c r="H2" t="s">
        <v>74</v>
      </c>
      <c r="I2" s="1">
        <v>3418.0889999999999</v>
      </c>
    </row>
    <row r="3" spans="1:13" x14ac:dyDescent="0.35">
      <c r="A3" t="s">
        <v>3</v>
      </c>
      <c r="B3" s="1">
        <v>2879.569</v>
      </c>
      <c r="H3" t="s">
        <v>75</v>
      </c>
      <c r="I3" s="1">
        <v>2765.1469999999999</v>
      </c>
    </row>
    <row r="4" spans="1:13" x14ac:dyDescent="0.35">
      <c r="A4" t="s">
        <v>4</v>
      </c>
      <c r="B4" s="1">
        <v>1831.175</v>
      </c>
      <c r="D4" s="1">
        <f>AVERAGE(B2:B7)</f>
        <v>2241.3366666666666</v>
      </c>
      <c r="H4" t="s">
        <v>76</v>
      </c>
      <c r="I4" s="1">
        <v>1980.1849999999999</v>
      </c>
      <c r="K4" s="1">
        <f>AVERAGE(I2:I7)</f>
        <v>2225.4830000000002</v>
      </c>
    </row>
    <row r="5" spans="1:13" x14ac:dyDescent="0.35">
      <c r="A5" t="s">
        <v>5</v>
      </c>
      <c r="B5" s="1">
        <v>1670.575</v>
      </c>
      <c r="F5" s="3">
        <f>AVERAGE(D4,D10,D16,D22,D28,D34,D40,D46,D52,D58,D64,D70)</f>
        <v>2021.1300250000004</v>
      </c>
      <c r="H5" t="s">
        <v>77</v>
      </c>
      <c r="I5" s="1">
        <v>1367.596</v>
      </c>
      <c r="M5" s="3">
        <f>AVERAGE(K4,K10:K11,K16,K22,K28,K34,K40,K46,K52,K58,K64,K70)</f>
        <v>2158.5207999999998</v>
      </c>
    </row>
    <row r="6" spans="1:13" x14ac:dyDescent="0.35">
      <c r="A6" t="s">
        <v>6</v>
      </c>
      <c r="B6" s="1">
        <v>1716.9449999999999</v>
      </c>
      <c r="H6" t="s">
        <v>78</v>
      </c>
      <c r="I6" s="1">
        <v>1752.8869999999999</v>
      </c>
    </row>
    <row r="7" spans="1:13" x14ac:dyDescent="0.35">
      <c r="A7" t="s">
        <v>7</v>
      </c>
      <c r="B7" s="1">
        <v>2235.5639999999999</v>
      </c>
      <c r="H7" t="s">
        <v>79</v>
      </c>
      <c r="I7" s="1">
        <v>2068.9940000000001</v>
      </c>
    </row>
    <row r="8" spans="1:13" x14ac:dyDescent="0.35">
      <c r="A8" t="s">
        <v>8</v>
      </c>
      <c r="B8" s="1"/>
      <c r="H8" t="s">
        <v>80</v>
      </c>
    </row>
    <row r="9" spans="1:13" x14ac:dyDescent="0.35">
      <c r="A9" t="s">
        <v>9</v>
      </c>
      <c r="B9" s="1">
        <v>2045.117</v>
      </c>
      <c r="H9" t="s">
        <v>81</v>
      </c>
      <c r="I9" s="1">
        <v>2911.03</v>
      </c>
    </row>
    <row r="10" spans="1:13" x14ac:dyDescent="0.35">
      <c r="A10" t="s">
        <v>10</v>
      </c>
      <c r="B10" s="1">
        <v>1937.1279999999999</v>
      </c>
      <c r="D10" s="1">
        <f>AVERAGE(B8:B13)</f>
        <v>1835.9068</v>
      </c>
      <c r="H10" t="s">
        <v>82</v>
      </c>
      <c r="I10" s="1">
        <v>1502.877</v>
      </c>
      <c r="K10" s="1">
        <f>AVERAGE(I8:I13)</f>
        <v>2134.2726000000002</v>
      </c>
    </row>
    <row r="11" spans="1:13" x14ac:dyDescent="0.35">
      <c r="A11" t="s">
        <v>11</v>
      </c>
      <c r="B11" s="1">
        <v>1392.2639999999999</v>
      </c>
      <c r="H11" t="s">
        <v>83</v>
      </c>
      <c r="I11" s="1">
        <v>1894.444</v>
      </c>
    </row>
    <row r="12" spans="1:13" x14ac:dyDescent="0.35">
      <c r="A12" t="s">
        <v>12</v>
      </c>
      <c r="B12" s="1">
        <v>1672.87</v>
      </c>
      <c r="H12" t="s">
        <v>84</v>
      </c>
      <c r="I12" s="1">
        <v>2074.52</v>
      </c>
    </row>
    <row r="13" spans="1:13" x14ac:dyDescent="0.35">
      <c r="A13" t="s">
        <v>13</v>
      </c>
      <c r="B13" s="1">
        <v>2132.1550000000002</v>
      </c>
      <c r="H13" t="s">
        <v>85</v>
      </c>
      <c r="I13" s="1">
        <v>2288.4920000000002</v>
      </c>
    </row>
    <row r="14" spans="1:13" x14ac:dyDescent="0.35">
      <c r="A14" t="s">
        <v>14</v>
      </c>
      <c r="B14" s="1"/>
      <c r="H14" t="s">
        <v>86</v>
      </c>
      <c r="I14" s="1">
        <v>3079.808</v>
      </c>
    </row>
    <row r="15" spans="1:13" x14ac:dyDescent="0.35">
      <c r="A15" t="s">
        <v>15</v>
      </c>
      <c r="B15" s="1">
        <v>2764.4859999999999</v>
      </c>
      <c r="H15" t="s">
        <v>87</v>
      </c>
      <c r="I15" s="1">
        <v>2410.3130000000001</v>
      </c>
    </row>
    <row r="16" spans="1:13" x14ac:dyDescent="0.35">
      <c r="A16" t="s">
        <v>16</v>
      </c>
      <c r="B16" s="1">
        <v>1415.2449999999999</v>
      </c>
      <c r="D16" s="1">
        <f>AVERAGE(B14:B19)</f>
        <v>1817.9322</v>
      </c>
      <c r="H16" t="s">
        <v>88</v>
      </c>
      <c r="I16" s="1">
        <v>2152.7800000000002</v>
      </c>
      <c r="K16" s="1">
        <f>AVERAGE(I14:I19)</f>
        <v>2237.4821666666667</v>
      </c>
    </row>
    <row r="17" spans="1:11" x14ac:dyDescent="0.35">
      <c r="A17" t="s">
        <v>17</v>
      </c>
      <c r="B17" s="1">
        <v>1640.942</v>
      </c>
      <c r="H17" t="s">
        <v>89</v>
      </c>
      <c r="I17" s="1">
        <v>1661.441</v>
      </c>
    </row>
    <row r="18" spans="1:11" x14ac:dyDescent="0.35">
      <c r="A18" t="s">
        <v>18</v>
      </c>
      <c r="B18" s="1">
        <v>1525.683</v>
      </c>
      <c r="H18" t="s">
        <v>90</v>
      </c>
      <c r="I18" s="1">
        <v>1943.633</v>
      </c>
    </row>
    <row r="19" spans="1:11" x14ac:dyDescent="0.35">
      <c r="A19" t="s">
        <v>19</v>
      </c>
      <c r="B19" s="1">
        <v>1743.3050000000001</v>
      </c>
      <c r="H19" t="s">
        <v>91</v>
      </c>
      <c r="I19" s="1">
        <v>2176.9180000000001</v>
      </c>
    </row>
    <row r="20" spans="1:11" x14ac:dyDescent="0.35">
      <c r="A20" t="s">
        <v>20</v>
      </c>
      <c r="B20" s="1"/>
      <c r="H20" t="s">
        <v>92</v>
      </c>
    </row>
    <row r="21" spans="1:11" x14ac:dyDescent="0.35">
      <c r="A21" t="s">
        <v>21</v>
      </c>
      <c r="B21" s="1">
        <v>2800.23</v>
      </c>
      <c r="H21" t="s">
        <v>93</v>
      </c>
      <c r="I21" s="1">
        <v>2525.2710000000002</v>
      </c>
    </row>
    <row r="22" spans="1:11" x14ac:dyDescent="0.35">
      <c r="A22" t="s">
        <v>22</v>
      </c>
      <c r="B22" s="1">
        <v>2043.3630000000001</v>
      </c>
      <c r="D22" s="1">
        <f>AVERAGE(B20:B25)</f>
        <v>2062.9415999999997</v>
      </c>
      <c r="H22" t="s">
        <v>94</v>
      </c>
      <c r="I22" s="1">
        <v>1974.672</v>
      </c>
      <c r="K22" s="1">
        <f>AVERAGE(I20:I25)</f>
        <v>2015.7164</v>
      </c>
    </row>
    <row r="23" spans="1:11" x14ac:dyDescent="0.35">
      <c r="A23" t="s">
        <v>23</v>
      </c>
      <c r="B23" s="1">
        <v>1755.684</v>
      </c>
      <c r="H23" t="s">
        <v>95</v>
      </c>
      <c r="I23" s="1">
        <v>1569.2639999999999</v>
      </c>
    </row>
    <row r="24" spans="1:11" x14ac:dyDescent="0.35">
      <c r="A24" t="s">
        <v>24</v>
      </c>
      <c r="B24" s="1">
        <v>1524.164</v>
      </c>
      <c r="H24" t="s">
        <v>96</v>
      </c>
      <c r="I24" s="1">
        <v>1825.241</v>
      </c>
    </row>
    <row r="25" spans="1:11" x14ac:dyDescent="0.35">
      <c r="A25" t="s">
        <v>25</v>
      </c>
      <c r="B25" s="1">
        <v>2191.2669999999998</v>
      </c>
      <c r="H25" t="s">
        <v>97</v>
      </c>
      <c r="I25" s="1">
        <v>2184.134</v>
      </c>
    </row>
    <row r="26" spans="1:11" x14ac:dyDescent="0.35">
      <c r="A26" t="s">
        <v>26</v>
      </c>
      <c r="B26" s="1"/>
      <c r="H26" t="s">
        <v>98</v>
      </c>
    </row>
    <row r="27" spans="1:11" x14ac:dyDescent="0.35">
      <c r="A27" t="s">
        <v>27</v>
      </c>
      <c r="B27" s="1">
        <v>2016.8869999999999</v>
      </c>
      <c r="H27" t="s">
        <v>99</v>
      </c>
      <c r="I27" s="1">
        <v>2865.2919999999999</v>
      </c>
    </row>
    <row r="28" spans="1:11" x14ac:dyDescent="0.35">
      <c r="A28" t="s">
        <v>28</v>
      </c>
      <c r="B28" s="1">
        <v>1863.5170000000001</v>
      </c>
      <c r="D28" s="1">
        <f>AVERAGE(B26:B31)</f>
        <v>1768.9559999999997</v>
      </c>
      <c r="H28" t="s">
        <v>100</v>
      </c>
      <c r="I28" s="1">
        <v>1745.203</v>
      </c>
      <c r="K28" s="1">
        <f>AVERAGE(I26:I31)</f>
        <v>2022.9788000000001</v>
      </c>
    </row>
    <row r="29" spans="1:11" x14ac:dyDescent="0.35">
      <c r="A29" t="s">
        <v>29</v>
      </c>
      <c r="B29" s="1">
        <v>1542.7539999999999</v>
      </c>
      <c r="H29" t="s">
        <v>101</v>
      </c>
      <c r="I29" s="1">
        <v>1871.3109999999999</v>
      </c>
    </row>
    <row r="30" spans="1:11" x14ac:dyDescent="0.35">
      <c r="A30" t="s">
        <v>30</v>
      </c>
      <c r="B30" s="1">
        <v>1339.424</v>
      </c>
      <c r="H30" t="s">
        <v>102</v>
      </c>
      <c r="I30" s="1">
        <v>1587.59</v>
      </c>
    </row>
    <row r="31" spans="1:11" x14ac:dyDescent="0.35">
      <c r="A31" t="s">
        <v>31</v>
      </c>
      <c r="B31" s="1">
        <v>2082.1979999999999</v>
      </c>
      <c r="H31" t="s">
        <v>103</v>
      </c>
      <c r="I31" s="1">
        <v>2045.498</v>
      </c>
    </row>
    <row r="32" spans="1:11" x14ac:dyDescent="0.35">
      <c r="A32" t="s">
        <v>32</v>
      </c>
      <c r="B32" s="1">
        <v>2990.8339999999998</v>
      </c>
      <c r="H32" t="s">
        <v>104</v>
      </c>
    </row>
    <row r="33" spans="1:11" x14ac:dyDescent="0.35">
      <c r="A33" t="s">
        <v>33</v>
      </c>
      <c r="B33" s="1">
        <v>2616.7020000000002</v>
      </c>
      <c r="H33" t="s">
        <v>105</v>
      </c>
      <c r="I33" s="1">
        <v>2584.3580000000002</v>
      </c>
    </row>
    <row r="34" spans="1:11" x14ac:dyDescent="0.35">
      <c r="A34" t="s">
        <v>34</v>
      </c>
      <c r="B34" s="1">
        <v>2291.127</v>
      </c>
      <c r="D34" s="1">
        <f>AVERAGE(B32:B37)</f>
        <v>2171.8229999999999</v>
      </c>
      <c r="H34" t="s">
        <v>106</v>
      </c>
      <c r="I34" s="1">
        <v>2100.7150000000001</v>
      </c>
      <c r="K34" s="1">
        <f>AVERAGE(I32:I37)</f>
        <v>2246.3776000000003</v>
      </c>
    </row>
    <row r="35" spans="1:11" x14ac:dyDescent="0.35">
      <c r="A35" t="s">
        <v>35</v>
      </c>
      <c r="B35" s="1">
        <v>1517.3630000000001</v>
      </c>
      <c r="H35" t="s">
        <v>107</v>
      </c>
      <c r="I35" s="1">
        <v>1987.018</v>
      </c>
    </row>
    <row r="36" spans="1:11" x14ac:dyDescent="0.35">
      <c r="A36" t="s">
        <v>36</v>
      </c>
      <c r="B36" s="1">
        <v>1633.5730000000001</v>
      </c>
      <c r="H36" t="s">
        <v>108</v>
      </c>
      <c r="I36" s="1">
        <v>2090.9119999999998</v>
      </c>
    </row>
    <row r="37" spans="1:11" x14ac:dyDescent="0.35">
      <c r="A37" t="s">
        <v>37</v>
      </c>
      <c r="B37" s="1">
        <v>1981.3389999999999</v>
      </c>
      <c r="H37" t="s">
        <v>109</v>
      </c>
      <c r="I37" s="1">
        <v>2468.8850000000002</v>
      </c>
    </row>
    <row r="38" spans="1:11" x14ac:dyDescent="0.35">
      <c r="A38" t="s">
        <v>38</v>
      </c>
      <c r="B38" s="1">
        <v>2479.7359999999999</v>
      </c>
      <c r="H38" t="s">
        <v>110</v>
      </c>
      <c r="I38" s="1">
        <v>3198.0830000000001</v>
      </c>
    </row>
    <row r="39" spans="1:11" x14ac:dyDescent="0.35">
      <c r="A39" t="s">
        <v>39</v>
      </c>
      <c r="B39" s="1">
        <v>2425.3789999999999</v>
      </c>
      <c r="H39" t="s">
        <v>111</v>
      </c>
      <c r="I39" s="1">
        <v>2725.2040000000002</v>
      </c>
    </row>
    <row r="40" spans="1:11" x14ac:dyDescent="0.35">
      <c r="A40" t="s">
        <v>40</v>
      </c>
      <c r="B40" s="1">
        <v>2313.1660000000002</v>
      </c>
      <c r="D40" s="1">
        <f>AVERAGE(B38:B43)</f>
        <v>2025.0388333333333</v>
      </c>
      <c r="H40" t="s">
        <v>112</v>
      </c>
      <c r="I40" s="1">
        <v>1996.933</v>
      </c>
      <c r="K40" s="1">
        <f>AVERAGE(I38:I43)</f>
        <v>2209.2315000000003</v>
      </c>
    </row>
    <row r="41" spans="1:11" x14ac:dyDescent="0.35">
      <c r="A41" t="s">
        <v>41</v>
      </c>
      <c r="B41" s="1">
        <v>1394.675</v>
      </c>
      <c r="H41" t="s">
        <v>113</v>
      </c>
      <c r="I41" s="1">
        <v>1539.8989999999999</v>
      </c>
    </row>
    <row r="42" spans="1:11" x14ac:dyDescent="0.35">
      <c r="A42" t="s">
        <v>42</v>
      </c>
      <c r="B42" s="1">
        <v>1568.5650000000001</v>
      </c>
      <c r="H42" t="s">
        <v>114</v>
      </c>
      <c r="I42" s="1">
        <v>1887.41</v>
      </c>
    </row>
    <row r="43" spans="1:11" x14ac:dyDescent="0.35">
      <c r="A43" t="s">
        <v>43</v>
      </c>
      <c r="B43" s="1">
        <v>1968.712</v>
      </c>
      <c r="H43" t="s">
        <v>115</v>
      </c>
      <c r="I43" s="1">
        <v>1907.86</v>
      </c>
    </row>
    <row r="44" spans="1:11" x14ac:dyDescent="0.35">
      <c r="A44" t="s">
        <v>44</v>
      </c>
      <c r="B44" s="1"/>
      <c r="H44" t="s">
        <v>116</v>
      </c>
    </row>
    <row r="45" spans="1:11" x14ac:dyDescent="0.35">
      <c r="A45" t="s">
        <v>45</v>
      </c>
      <c r="B45" s="1">
        <v>2530.4839999999999</v>
      </c>
      <c r="H45" t="s">
        <v>117</v>
      </c>
      <c r="I45" s="1">
        <v>3070.0189999999998</v>
      </c>
    </row>
    <row r="46" spans="1:11" x14ac:dyDescent="0.35">
      <c r="A46" t="s">
        <v>46</v>
      </c>
      <c r="B46" s="1">
        <v>2094.0219999999999</v>
      </c>
      <c r="D46" s="1">
        <f>AVERAGE(B44:B49)</f>
        <v>1983.9849999999999</v>
      </c>
      <c r="H46" t="s">
        <v>118</v>
      </c>
      <c r="I46" s="1">
        <v>2172.8180000000002</v>
      </c>
      <c r="K46" s="1">
        <f>AVERAGE(I44:I49)</f>
        <v>2074.5281999999997</v>
      </c>
    </row>
    <row r="47" spans="1:11" x14ac:dyDescent="0.35">
      <c r="A47" t="s">
        <v>47</v>
      </c>
      <c r="B47" s="1">
        <v>1597.3810000000001</v>
      </c>
      <c r="H47" t="s">
        <v>119</v>
      </c>
      <c r="I47" s="1">
        <v>1566.1310000000001</v>
      </c>
    </row>
    <row r="48" spans="1:11" x14ac:dyDescent="0.35">
      <c r="A48" t="s">
        <v>48</v>
      </c>
      <c r="B48" s="1">
        <v>1526.277</v>
      </c>
      <c r="H48" t="s">
        <v>120</v>
      </c>
      <c r="I48" s="1">
        <v>1510.423</v>
      </c>
    </row>
    <row r="49" spans="1:11" x14ac:dyDescent="0.35">
      <c r="A49" t="s">
        <v>49</v>
      </c>
      <c r="B49" s="1">
        <v>2171.761</v>
      </c>
      <c r="H49" t="s">
        <v>121</v>
      </c>
      <c r="I49" s="1">
        <v>2053.25</v>
      </c>
    </row>
    <row r="50" spans="1:11" x14ac:dyDescent="0.35">
      <c r="A50" t="s">
        <v>50</v>
      </c>
      <c r="B50" s="1"/>
      <c r="H50" t="s">
        <v>122</v>
      </c>
    </row>
    <row r="51" spans="1:11" x14ac:dyDescent="0.35">
      <c r="A51" t="s">
        <v>51</v>
      </c>
      <c r="B51" s="1">
        <v>2721.8240000000001</v>
      </c>
      <c r="H51" t="s">
        <v>123</v>
      </c>
      <c r="I51" s="1">
        <v>2682.9110000000001</v>
      </c>
    </row>
    <row r="52" spans="1:11" x14ac:dyDescent="0.35">
      <c r="A52" t="s">
        <v>52</v>
      </c>
      <c r="B52" s="1">
        <v>2244.7689999999998</v>
      </c>
      <c r="D52" s="1">
        <f>AVERAGE(B50:B55)</f>
        <v>2128.3664000000003</v>
      </c>
      <c r="H52" t="s">
        <v>124</v>
      </c>
      <c r="I52" s="1">
        <v>2200.7759999999998</v>
      </c>
      <c r="K52" s="1">
        <f>AVERAGE(I50:I55)</f>
        <v>2168.2388000000001</v>
      </c>
    </row>
    <row r="53" spans="1:11" x14ac:dyDescent="0.35">
      <c r="A53" t="s">
        <v>53</v>
      </c>
      <c r="B53" s="1">
        <v>1567.748</v>
      </c>
      <c r="H53" t="s">
        <v>125</v>
      </c>
      <c r="I53" s="1">
        <v>1799.2260000000001</v>
      </c>
    </row>
    <row r="54" spans="1:11" x14ac:dyDescent="0.35">
      <c r="A54" t="s">
        <v>54</v>
      </c>
      <c r="B54" s="1">
        <v>2047.066</v>
      </c>
      <c r="H54" t="s">
        <v>126</v>
      </c>
      <c r="I54" s="1">
        <v>1894.857</v>
      </c>
    </row>
    <row r="55" spans="1:11" x14ac:dyDescent="0.35">
      <c r="A55" t="s">
        <v>55</v>
      </c>
      <c r="B55" s="1">
        <v>2060.4250000000002</v>
      </c>
      <c r="H55" t="s">
        <v>127</v>
      </c>
      <c r="I55" s="1">
        <v>2263.424</v>
      </c>
    </row>
    <row r="56" spans="1:11" x14ac:dyDescent="0.35">
      <c r="A56" t="s">
        <v>56</v>
      </c>
      <c r="B56" s="1"/>
      <c r="H56" t="s">
        <v>128</v>
      </c>
    </row>
    <row r="57" spans="1:11" x14ac:dyDescent="0.35">
      <c r="A57" t="s">
        <v>57</v>
      </c>
      <c r="B57" s="1">
        <v>2395.7339999999999</v>
      </c>
      <c r="H57" t="s">
        <v>129</v>
      </c>
      <c r="I57" s="1">
        <v>2805.7530000000002</v>
      </c>
    </row>
    <row r="58" spans="1:11" x14ac:dyDescent="0.35">
      <c r="A58" t="s">
        <v>58</v>
      </c>
      <c r="B58" s="1">
        <v>2169.8560000000002</v>
      </c>
      <c r="D58" s="1">
        <f>AVERAGE(B56:B61)</f>
        <v>2218.2148000000002</v>
      </c>
      <c r="H58" t="s">
        <v>130</v>
      </c>
      <c r="I58" s="1">
        <v>2020.84</v>
      </c>
      <c r="K58" s="1">
        <f>AVERAGE(I56:I61)</f>
        <v>1986.8576</v>
      </c>
    </row>
    <row r="59" spans="1:11" x14ac:dyDescent="0.35">
      <c r="A59" t="s">
        <v>59</v>
      </c>
      <c r="B59" s="1">
        <v>2132.248</v>
      </c>
      <c r="H59" t="s">
        <v>131</v>
      </c>
      <c r="I59" s="1">
        <v>1280.424</v>
      </c>
    </row>
    <row r="60" spans="1:11" x14ac:dyDescent="0.35">
      <c r="A60" t="s">
        <v>60</v>
      </c>
      <c r="B60" s="1">
        <v>2021.713</v>
      </c>
      <c r="H60" t="s">
        <v>132</v>
      </c>
      <c r="I60" s="1">
        <v>1780.5160000000001</v>
      </c>
    </row>
    <row r="61" spans="1:11" x14ac:dyDescent="0.35">
      <c r="A61" t="s">
        <v>61</v>
      </c>
      <c r="B61" s="1">
        <v>2371.5230000000001</v>
      </c>
      <c r="H61" t="s">
        <v>133</v>
      </c>
      <c r="I61" s="1">
        <v>2046.7550000000001</v>
      </c>
    </row>
    <row r="62" spans="1:11" x14ac:dyDescent="0.35">
      <c r="A62" t="s">
        <v>62</v>
      </c>
      <c r="B62" s="1"/>
      <c r="H62" t="s">
        <v>134</v>
      </c>
      <c r="I62" s="1">
        <v>3350.8130000000001</v>
      </c>
    </row>
    <row r="63" spans="1:11" x14ac:dyDescent="0.35">
      <c r="A63" t="s">
        <v>63</v>
      </c>
      <c r="B63" s="1">
        <v>3047.596</v>
      </c>
      <c r="H63" t="s">
        <v>135</v>
      </c>
      <c r="I63" s="1">
        <v>2874.38</v>
      </c>
    </row>
    <row r="64" spans="1:11" x14ac:dyDescent="0.35">
      <c r="A64" t="s">
        <v>64</v>
      </c>
      <c r="B64" s="1">
        <v>2352.7069999999999</v>
      </c>
      <c r="D64" s="1">
        <f>AVERAGE(B62:B67)</f>
        <v>2141.0755999999997</v>
      </c>
      <c r="H64" t="s">
        <v>136</v>
      </c>
      <c r="I64" s="1">
        <v>2456.9490000000001</v>
      </c>
      <c r="K64" s="1">
        <f>AVERAGE(I62:I67)</f>
        <v>2434.7453333333333</v>
      </c>
    </row>
    <row r="65" spans="1:11" x14ac:dyDescent="0.35">
      <c r="A65" t="s">
        <v>65</v>
      </c>
      <c r="B65" s="1">
        <v>1650.5450000000001</v>
      </c>
      <c r="H65" t="s">
        <v>137</v>
      </c>
      <c r="I65" s="1">
        <v>2127.8629999999998</v>
      </c>
    </row>
    <row r="66" spans="1:11" x14ac:dyDescent="0.35">
      <c r="A66" t="s">
        <v>66</v>
      </c>
      <c r="B66" s="1">
        <v>1571.7650000000001</v>
      </c>
      <c r="H66" t="s">
        <v>138</v>
      </c>
      <c r="I66" s="1">
        <v>1634.1880000000001</v>
      </c>
    </row>
    <row r="67" spans="1:11" x14ac:dyDescent="0.35">
      <c r="A67" t="s">
        <v>67</v>
      </c>
      <c r="B67" s="1">
        <v>2082.7649999999999</v>
      </c>
      <c r="H67" t="s">
        <v>139</v>
      </c>
      <c r="I67" s="1">
        <v>2164.279</v>
      </c>
    </row>
    <row r="68" spans="1:11" x14ac:dyDescent="0.35">
      <c r="A68" t="s">
        <v>68</v>
      </c>
      <c r="B68" s="1"/>
      <c r="H68" t="s">
        <v>140</v>
      </c>
    </row>
    <row r="69" spans="1:11" x14ac:dyDescent="0.35">
      <c r="A69" t="s">
        <v>69</v>
      </c>
      <c r="B69" s="1">
        <v>2400.0320000000002</v>
      </c>
      <c r="H69" t="s">
        <v>141</v>
      </c>
      <c r="I69" s="1">
        <v>2506.98</v>
      </c>
    </row>
    <row r="70" spans="1:11" x14ac:dyDescent="0.35">
      <c r="A70" t="s">
        <v>70</v>
      </c>
      <c r="B70" s="1">
        <v>2125.0889999999999</v>
      </c>
      <c r="D70" s="1">
        <f>AVERAGE(B68:B73)</f>
        <v>1857.9833999999998</v>
      </c>
      <c r="H70" t="s">
        <v>142</v>
      </c>
      <c r="I70" s="1">
        <v>2323.1790000000001</v>
      </c>
      <c r="K70" s="1">
        <f>AVERAGE(I68:I73)</f>
        <v>2146.3375999999998</v>
      </c>
    </row>
    <row r="71" spans="1:11" x14ac:dyDescent="0.35">
      <c r="A71" t="s">
        <v>71</v>
      </c>
      <c r="B71" s="1">
        <v>1745.163</v>
      </c>
      <c r="H71" t="s">
        <v>143</v>
      </c>
      <c r="I71" s="1">
        <v>1847.479</v>
      </c>
    </row>
    <row r="72" spans="1:11" x14ac:dyDescent="0.35">
      <c r="A72" t="s">
        <v>72</v>
      </c>
      <c r="B72" s="1">
        <v>1535.982</v>
      </c>
      <c r="H72" t="s">
        <v>144</v>
      </c>
      <c r="I72" s="1">
        <v>1929.895</v>
      </c>
    </row>
    <row r="73" spans="1:11" x14ac:dyDescent="0.35">
      <c r="A73" t="s">
        <v>73</v>
      </c>
      <c r="B73" s="1">
        <v>1483.6510000000001</v>
      </c>
      <c r="H73" t="s">
        <v>145</v>
      </c>
      <c r="I73" s="1">
        <v>2124.1550000000002</v>
      </c>
    </row>
    <row r="74" spans="1:11" x14ac:dyDescent="0.35">
      <c r="I7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3"/>
  <sheetViews>
    <sheetView workbookViewId="0">
      <selection activeCell="H2" sqref="H2:H73"/>
    </sheetView>
  </sheetViews>
  <sheetFormatPr defaultRowHeight="14.5" x14ac:dyDescent="0.35"/>
  <sheetData>
    <row r="1" spans="1:12" x14ac:dyDescent="0.35">
      <c r="A1" t="s">
        <v>0</v>
      </c>
      <c r="B1" t="s">
        <v>147</v>
      </c>
      <c r="G1" t="s">
        <v>0</v>
      </c>
      <c r="H1" t="s">
        <v>147</v>
      </c>
    </row>
    <row r="2" spans="1:12" x14ac:dyDescent="0.35">
      <c r="A2" t="s">
        <v>2</v>
      </c>
      <c r="B2">
        <v>0.1</v>
      </c>
      <c r="G2" t="s">
        <v>74</v>
      </c>
      <c r="H2">
        <v>8.4000000000000005E-2</v>
      </c>
    </row>
    <row r="3" spans="1:12" x14ac:dyDescent="0.35">
      <c r="A3" t="s">
        <v>3</v>
      </c>
      <c r="B3">
        <v>0.67900000000000005</v>
      </c>
      <c r="G3" t="s">
        <v>75</v>
      </c>
      <c r="H3">
        <v>0.65900000000000003</v>
      </c>
    </row>
    <row r="4" spans="1:12" x14ac:dyDescent="0.35">
      <c r="A4" t="s">
        <v>4</v>
      </c>
      <c r="B4">
        <v>8.3729999999999993</v>
      </c>
      <c r="D4" s="1">
        <f>AVERAGE(B2:B7)</f>
        <v>7.2148333333333339</v>
      </c>
      <c r="G4" t="s">
        <v>76</v>
      </c>
      <c r="H4">
        <v>6.29</v>
      </c>
      <c r="J4" s="1">
        <f>AVERAGE(H2:H7)</f>
        <v>8.8866666666666667</v>
      </c>
    </row>
    <row r="5" spans="1:12" x14ac:dyDescent="0.35">
      <c r="A5" t="s">
        <v>5</v>
      </c>
      <c r="B5">
        <v>16.73</v>
      </c>
      <c r="F5" s="3">
        <f>AVERAGE(D4,D10,D16,D22,D28,D34,D40,D46,D52,D58,D64,D70)</f>
        <v>9.0007500000000018</v>
      </c>
      <c r="G5" t="s">
        <v>77</v>
      </c>
      <c r="H5">
        <v>26.079000000000001</v>
      </c>
      <c r="L5" s="3">
        <f>AVERAGE(J4,J10,J16,J22,J28,J34,J40,J46,J52,J58,J64,J70)</f>
        <v>6.9405555555555551</v>
      </c>
    </row>
    <row r="6" spans="1:12" x14ac:dyDescent="0.35">
      <c r="A6" t="s">
        <v>6</v>
      </c>
      <c r="B6">
        <v>13.804</v>
      </c>
      <c r="G6" t="s">
        <v>78</v>
      </c>
      <c r="H6">
        <v>14.43</v>
      </c>
    </row>
    <row r="7" spans="1:12" x14ac:dyDescent="0.35">
      <c r="A7" t="s">
        <v>7</v>
      </c>
      <c r="B7">
        <v>3.6030000000000002</v>
      </c>
      <c r="G7" t="s">
        <v>79</v>
      </c>
      <c r="H7">
        <v>5.7779999999999996</v>
      </c>
    </row>
    <row r="8" spans="1:12" x14ac:dyDescent="0.35">
      <c r="A8" t="s">
        <v>8</v>
      </c>
      <c r="B8">
        <v>6.3E-2</v>
      </c>
      <c r="G8" t="s">
        <v>80</v>
      </c>
      <c r="H8">
        <v>0.04</v>
      </c>
    </row>
    <row r="9" spans="1:12" x14ac:dyDescent="0.35">
      <c r="A9" t="s">
        <v>9</v>
      </c>
      <c r="B9">
        <v>4.7770000000000001</v>
      </c>
      <c r="G9" t="s">
        <v>81</v>
      </c>
      <c r="H9">
        <v>0.45100000000000001</v>
      </c>
    </row>
    <row r="10" spans="1:12" x14ac:dyDescent="0.35">
      <c r="A10" t="s">
        <v>10</v>
      </c>
      <c r="B10">
        <v>8.1020000000000003</v>
      </c>
      <c r="D10" s="1">
        <f>AVERAGE(B8:B13)</f>
        <v>10.174666666666667</v>
      </c>
      <c r="G10" t="s">
        <v>82</v>
      </c>
      <c r="H10">
        <v>18.344999999999999</v>
      </c>
      <c r="J10" s="1">
        <f>AVERAGE(H8:H13)</f>
        <v>6.1305000000000005</v>
      </c>
    </row>
    <row r="11" spans="1:12" x14ac:dyDescent="0.35">
      <c r="A11" t="s">
        <v>11</v>
      </c>
      <c r="B11">
        <v>28.805</v>
      </c>
      <c r="G11" t="s">
        <v>83</v>
      </c>
      <c r="H11">
        <v>8.3659999999999997</v>
      </c>
    </row>
    <row r="12" spans="1:12" x14ac:dyDescent="0.35">
      <c r="A12" t="s">
        <v>12</v>
      </c>
      <c r="B12">
        <v>14.244</v>
      </c>
      <c r="G12" t="s">
        <v>84</v>
      </c>
      <c r="H12">
        <v>6.0270000000000001</v>
      </c>
    </row>
    <row r="13" spans="1:12" x14ac:dyDescent="0.35">
      <c r="A13" t="s">
        <v>13</v>
      </c>
      <c r="B13">
        <v>5.0570000000000004</v>
      </c>
      <c r="G13" t="s">
        <v>85</v>
      </c>
      <c r="H13">
        <v>3.5539999999999998</v>
      </c>
    </row>
    <row r="14" spans="1:12" x14ac:dyDescent="0.35">
      <c r="A14" t="s">
        <v>14</v>
      </c>
      <c r="B14">
        <v>7.8E-2</v>
      </c>
      <c r="G14" t="s">
        <v>86</v>
      </c>
      <c r="H14">
        <v>0.13500000000000001</v>
      </c>
    </row>
    <row r="15" spans="1:12" x14ac:dyDescent="0.35">
      <c r="A15" t="s">
        <v>15</v>
      </c>
      <c r="B15">
        <v>0.68799999999999994</v>
      </c>
      <c r="G15" t="s">
        <v>87</v>
      </c>
      <c r="H15">
        <v>3.4220000000000002</v>
      </c>
    </row>
    <row r="16" spans="1:12" x14ac:dyDescent="0.35">
      <c r="A16" t="s">
        <v>16</v>
      </c>
      <c r="B16">
        <v>21.960999999999999</v>
      </c>
      <c r="D16" s="1">
        <f>AVERAGE(B14:B19)</f>
        <v>12.997833333333332</v>
      </c>
      <c r="G16" t="s">
        <v>88</v>
      </c>
      <c r="H16">
        <v>5.1849999999999996</v>
      </c>
      <c r="J16" s="1">
        <f>AVERAGE(H14:H19)</f>
        <v>6.5858333333333334</v>
      </c>
    </row>
    <row r="17" spans="1:10" x14ac:dyDescent="0.35">
      <c r="A17" t="s">
        <v>17</v>
      </c>
      <c r="B17">
        <v>17.864000000000001</v>
      </c>
      <c r="G17" t="s">
        <v>89</v>
      </c>
      <c r="H17">
        <v>17.091000000000001</v>
      </c>
    </row>
    <row r="18" spans="1:10" x14ac:dyDescent="0.35">
      <c r="A18" t="s">
        <v>18</v>
      </c>
      <c r="B18">
        <v>21.724</v>
      </c>
      <c r="G18" t="s">
        <v>90</v>
      </c>
      <c r="H18">
        <v>9.1020000000000003</v>
      </c>
    </row>
    <row r="19" spans="1:10" x14ac:dyDescent="0.35">
      <c r="A19" t="s">
        <v>19</v>
      </c>
      <c r="B19">
        <v>15.672000000000001</v>
      </c>
      <c r="G19" t="s">
        <v>91</v>
      </c>
      <c r="H19">
        <v>4.58</v>
      </c>
    </row>
    <row r="20" spans="1:10" x14ac:dyDescent="0.35">
      <c r="A20" t="s">
        <v>20</v>
      </c>
      <c r="B20">
        <v>7.5999999999999998E-2</v>
      </c>
      <c r="G20" t="s">
        <v>92</v>
      </c>
      <c r="H20">
        <v>9.5000000000000001E-2</v>
      </c>
    </row>
    <row r="21" spans="1:10" x14ac:dyDescent="0.35">
      <c r="A21" t="s">
        <v>21</v>
      </c>
      <c r="B21">
        <v>0.81899999999999995</v>
      </c>
      <c r="G21" t="s">
        <v>93</v>
      </c>
      <c r="H21">
        <v>1.7589999999999999</v>
      </c>
    </row>
    <row r="22" spans="1:10" x14ac:dyDescent="0.35">
      <c r="A22" t="s">
        <v>22</v>
      </c>
      <c r="B22">
        <v>5.5830000000000002</v>
      </c>
      <c r="D22" s="1">
        <f>AVERAGE(B20:B25)</f>
        <v>7.9683333333333337</v>
      </c>
      <c r="G22" t="s">
        <v>94</v>
      </c>
      <c r="H22">
        <v>7.8360000000000003</v>
      </c>
      <c r="J22" s="1">
        <f>AVERAGE(H20:H25)</f>
        <v>7.9556666666666658</v>
      </c>
    </row>
    <row r="23" spans="1:10" x14ac:dyDescent="0.35">
      <c r="A23" t="s">
        <v>23</v>
      </c>
      <c r="B23">
        <v>15.228</v>
      </c>
      <c r="G23" t="s">
        <v>95</v>
      </c>
      <c r="H23">
        <v>22.222999999999999</v>
      </c>
    </row>
    <row r="24" spans="1:10" x14ac:dyDescent="0.35">
      <c r="A24" t="s">
        <v>24</v>
      </c>
      <c r="B24">
        <v>21.983000000000001</v>
      </c>
      <c r="G24" t="s">
        <v>96</v>
      </c>
      <c r="H24">
        <v>11.407999999999999</v>
      </c>
    </row>
    <row r="25" spans="1:10" x14ac:dyDescent="0.35">
      <c r="A25" t="s">
        <v>25</v>
      </c>
      <c r="B25">
        <v>4.1210000000000004</v>
      </c>
      <c r="G25" t="s">
        <v>97</v>
      </c>
      <c r="H25">
        <v>4.4130000000000003</v>
      </c>
    </row>
    <row r="26" spans="1:10" x14ac:dyDescent="0.35">
      <c r="A26" t="s">
        <v>26</v>
      </c>
      <c r="B26">
        <v>1.9E-2</v>
      </c>
      <c r="G26" t="s">
        <v>98</v>
      </c>
      <c r="H26">
        <v>4.4999999999999998E-2</v>
      </c>
    </row>
    <row r="27" spans="1:10" x14ac:dyDescent="0.35">
      <c r="A27" t="s">
        <v>27</v>
      </c>
      <c r="B27">
        <v>5.3460000000000001</v>
      </c>
      <c r="G27" t="s">
        <v>99</v>
      </c>
      <c r="H27">
        <v>0.31</v>
      </c>
    </row>
    <row r="28" spans="1:10" x14ac:dyDescent="0.35">
      <c r="A28" t="s">
        <v>28</v>
      </c>
      <c r="B28">
        <v>9.8059999999999992</v>
      </c>
      <c r="D28" s="1">
        <f>AVERAGE(B26:B31)</f>
        <v>12.591833333333334</v>
      </c>
      <c r="G28" t="s">
        <v>100</v>
      </c>
      <c r="H28">
        <v>11.438000000000001</v>
      </c>
      <c r="J28" s="1">
        <f>AVERAGE(H26:H31)</f>
        <v>8.1105</v>
      </c>
    </row>
    <row r="29" spans="1:10" x14ac:dyDescent="0.35">
      <c r="A29" t="s">
        <v>29</v>
      </c>
      <c r="B29">
        <v>20.492999999999999</v>
      </c>
      <c r="G29" t="s">
        <v>101</v>
      </c>
      <c r="H29">
        <v>10.069000000000001</v>
      </c>
    </row>
    <row r="30" spans="1:10" x14ac:dyDescent="0.35">
      <c r="A30" t="s">
        <v>30</v>
      </c>
      <c r="B30">
        <v>33.883000000000003</v>
      </c>
      <c r="G30" t="s">
        <v>102</v>
      </c>
      <c r="H30">
        <v>20.545000000000002</v>
      </c>
    </row>
    <row r="31" spans="1:10" x14ac:dyDescent="0.35">
      <c r="A31" t="s">
        <v>31</v>
      </c>
      <c r="B31">
        <v>6.0039999999999996</v>
      </c>
      <c r="G31" t="s">
        <v>103</v>
      </c>
      <c r="H31">
        <v>6.2560000000000002</v>
      </c>
    </row>
    <row r="32" spans="1:10" x14ac:dyDescent="0.35">
      <c r="A32" t="s">
        <v>32</v>
      </c>
      <c r="B32">
        <v>7.3999999999999996E-2</v>
      </c>
      <c r="G32" t="s">
        <v>104</v>
      </c>
      <c r="H32">
        <v>1.2999999999999999E-2</v>
      </c>
    </row>
    <row r="33" spans="1:10" x14ac:dyDescent="0.35">
      <c r="A33" t="s">
        <v>33</v>
      </c>
      <c r="B33">
        <v>1.163</v>
      </c>
      <c r="G33" t="s">
        <v>105</v>
      </c>
      <c r="H33">
        <v>1.226</v>
      </c>
    </row>
    <row r="34" spans="1:10" x14ac:dyDescent="0.35">
      <c r="A34" t="s">
        <v>34</v>
      </c>
      <c r="B34">
        <v>5.181</v>
      </c>
      <c r="D34" s="1">
        <f>AVERAGE(B32:B37)</f>
        <v>9.4113333333333333</v>
      </c>
      <c r="G34" t="s">
        <v>106</v>
      </c>
      <c r="H34">
        <v>4.9800000000000004</v>
      </c>
      <c r="J34" s="1">
        <f>AVERAGE(H32:H37)</f>
        <v>3.6196666666666668</v>
      </c>
    </row>
    <row r="35" spans="1:10" x14ac:dyDescent="0.35">
      <c r="A35" t="s">
        <v>35</v>
      </c>
      <c r="B35">
        <v>23.503</v>
      </c>
      <c r="G35" t="s">
        <v>107</v>
      </c>
      <c r="H35">
        <v>7.6950000000000003</v>
      </c>
    </row>
    <row r="36" spans="1:10" x14ac:dyDescent="0.35">
      <c r="A36" t="s">
        <v>36</v>
      </c>
      <c r="B36">
        <v>19.568000000000001</v>
      </c>
      <c r="G36" t="s">
        <v>108</v>
      </c>
      <c r="H36">
        <v>5.6219999999999999</v>
      </c>
    </row>
    <row r="37" spans="1:10" x14ac:dyDescent="0.35">
      <c r="A37" t="s">
        <v>37</v>
      </c>
      <c r="B37">
        <v>6.9790000000000001</v>
      </c>
      <c r="G37" t="s">
        <v>109</v>
      </c>
      <c r="H37">
        <v>2.1819999999999999</v>
      </c>
    </row>
    <row r="38" spans="1:10" x14ac:dyDescent="0.35">
      <c r="A38" t="s">
        <v>38</v>
      </c>
      <c r="B38">
        <v>0.19700000000000001</v>
      </c>
      <c r="G38" t="s">
        <v>110</v>
      </c>
      <c r="H38">
        <v>9.1999999999999998E-2</v>
      </c>
    </row>
    <row r="39" spans="1:10" x14ac:dyDescent="0.35">
      <c r="A39" t="s">
        <v>39</v>
      </c>
      <c r="B39">
        <v>2.42</v>
      </c>
      <c r="G39" t="s">
        <v>111</v>
      </c>
      <c r="H39">
        <v>1.1379999999999999</v>
      </c>
    </row>
    <row r="40" spans="1:10" x14ac:dyDescent="0.35">
      <c r="A40" t="s">
        <v>40</v>
      </c>
      <c r="B40">
        <v>6.5419999999999998</v>
      </c>
      <c r="D40" s="1">
        <f>AVERAGE(B38:B43)</f>
        <v>11.574</v>
      </c>
      <c r="G40" t="s">
        <v>112</v>
      </c>
      <c r="H40">
        <v>7.7789999999999999</v>
      </c>
      <c r="J40" s="1">
        <f>AVERAGE(H38:H43)</f>
        <v>8.8486666666666665</v>
      </c>
    </row>
    <row r="41" spans="1:10" x14ac:dyDescent="0.35">
      <c r="A41" t="s">
        <v>41</v>
      </c>
      <c r="B41">
        <v>30.914999999999999</v>
      </c>
      <c r="G41" t="s">
        <v>113</v>
      </c>
      <c r="H41">
        <v>22.844999999999999</v>
      </c>
    </row>
    <row r="42" spans="1:10" x14ac:dyDescent="0.35">
      <c r="A42" t="s">
        <v>42</v>
      </c>
      <c r="B42">
        <v>21.363</v>
      </c>
      <c r="G42" t="s">
        <v>114</v>
      </c>
      <c r="H42">
        <v>10.645</v>
      </c>
    </row>
    <row r="43" spans="1:10" x14ac:dyDescent="0.35">
      <c r="A43" t="s">
        <v>43</v>
      </c>
      <c r="B43">
        <v>8.0069999999999997</v>
      </c>
      <c r="G43" t="s">
        <v>115</v>
      </c>
      <c r="H43">
        <v>10.593</v>
      </c>
    </row>
    <row r="44" spans="1:10" x14ac:dyDescent="0.35">
      <c r="A44" t="s">
        <v>44</v>
      </c>
      <c r="B44">
        <v>5.0999999999999997E-2</v>
      </c>
      <c r="G44" t="s">
        <v>116</v>
      </c>
      <c r="H44">
        <v>4.9000000000000002E-2</v>
      </c>
    </row>
    <row r="45" spans="1:10" x14ac:dyDescent="0.35">
      <c r="A45" t="s">
        <v>45</v>
      </c>
      <c r="B45">
        <v>1.1279999999999999</v>
      </c>
      <c r="G45" t="s">
        <v>117</v>
      </c>
      <c r="H45">
        <v>0.159</v>
      </c>
    </row>
    <row r="46" spans="1:10" x14ac:dyDescent="0.35">
      <c r="A46" t="s">
        <v>46</v>
      </c>
      <c r="B46">
        <v>5.3869999999999996</v>
      </c>
      <c r="D46" s="1">
        <f>AVERAGE(B44:B49)</f>
        <v>7.9443333333333328</v>
      </c>
      <c r="G46" t="s">
        <v>118</v>
      </c>
      <c r="H46">
        <v>5.0739999999999998</v>
      </c>
      <c r="J46" s="1">
        <f>AVERAGE(H44:H49)</f>
        <v>9.1888333333333332</v>
      </c>
    </row>
    <row r="47" spans="1:10" x14ac:dyDescent="0.35">
      <c r="A47" t="s">
        <v>47</v>
      </c>
      <c r="B47">
        <v>13.749000000000001</v>
      </c>
      <c r="G47" t="s">
        <v>119</v>
      </c>
      <c r="H47">
        <v>20.710999999999999</v>
      </c>
    </row>
    <row r="48" spans="1:10" x14ac:dyDescent="0.35">
      <c r="A48" t="s">
        <v>48</v>
      </c>
      <c r="B48">
        <v>22.966999999999999</v>
      </c>
      <c r="G48" t="s">
        <v>120</v>
      </c>
      <c r="H48">
        <v>22.742000000000001</v>
      </c>
    </row>
    <row r="49" spans="1:10" x14ac:dyDescent="0.35">
      <c r="A49" t="s">
        <v>49</v>
      </c>
      <c r="B49">
        <v>4.3840000000000003</v>
      </c>
      <c r="G49" t="s">
        <v>121</v>
      </c>
      <c r="H49">
        <v>6.3979999999999997</v>
      </c>
    </row>
    <row r="50" spans="1:10" x14ac:dyDescent="0.35">
      <c r="A50" t="s">
        <v>50</v>
      </c>
      <c r="B50">
        <v>0.14099999999999999</v>
      </c>
      <c r="G50" t="s">
        <v>122</v>
      </c>
      <c r="H50">
        <v>1.0999999999999999E-2</v>
      </c>
    </row>
    <row r="51" spans="1:10" x14ac:dyDescent="0.35">
      <c r="A51" t="s">
        <v>51</v>
      </c>
      <c r="B51">
        <v>0.93700000000000006</v>
      </c>
      <c r="G51" t="s">
        <v>123</v>
      </c>
      <c r="H51">
        <v>1.244</v>
      </c>
    </row>
    <row r="52" spans="1:10" x14ac:dyDescent="0.35">
      <c r="A52" t="s">
        <v>52</v>
      </c>
      <c r="B52">
        <v>3.0409999999999999</v>
      </c>
      <c r="D52" s="1">
        <f>AVERAGE(B50:B55)</f>
        <v>5.7323333333333331</v>
      </c>
      <c r="G52" t="s">
        <v>124</v>
      </c>
      <c r="H52">
        <v>4.4649999999999999</v>
      </c>
      <c r="J52" s="1">
        <f>AVERAGE(H50:H55)</f>
        <v>4.6379999999999999</v>
      </c>
    </row>
    <row r="53" spans="1:10" x14ac:dyDescent="0.35">
      <c r="A53" t="s">
        <v>53</v>
      </c>
      <c r="B53">
        <v>17.72</v>
      </c>
      <c r="G53" t="s">
        <v>125</v>
      </c>
      <c r="H53">
        <v>9.1579999999999995</v>
      </c>
    </row>
    <row r="54" spans="1:10" x14ac:dyDescent="0.35">
      <c r="A54" t="s">
        <v>54</v>
      </c>
      <c r="B54">
        <v>6.3140000000000001</v>
      </c>
      <c r="G54" t="s">
        <v>126</v>
      </c>
      <c r="H54">
        <v>9.2260000000000009</v>
      </c>
    </row>
    <row r="55" spans="1:10" x14ac:dyDescent="0.35">
      <c r="A55" t="s">
        <v>55</v>
      </c>
      <c r="B55">
        <v>6.2409999999999997</v>
      </c>
      <c r="G55" t="s">
        <v>127</v>
      </c>
      <c r="H55">
        <v>3.7240000000000002</v>
      </c>
    </row>
    <row r="56" spans="1:10" x14ac:dyDescent="0.35">
      <c r="A56" t="s">
        <v>56</v>
      </c>
      <c r="B56">
        <v>1.7999999999999999E-2</v>
      </c>
      <c r="G56" t="s">
        <v>128</v>
      </c>
      <c r="H56">
        <v>4.9000000000000002E-2</v>
      </c>
    </row>
    <row r="57" spans="1:10" x14ac:dyDescent="0.35">
      <c r="A57" t="s">
        <v>57</v>
      </c>
      <c r="B57">
        <v>1.9850000000000001</v>
      </c>
      <c r="G57" t="s">
        <v>129</v>
      </c>
      <c r="H57">
        <v>0.30299999999999999</v>
      </c>
    </row>
    <row r="58" spans="1:10" x14ac:dyDescent="0.35">
      <c r="A58" t="s">
        <v>58</v>
      </c>
      <c r="B58">
        <v>4.7110000000000003</v>
      </c>
      <c r="D58" s="1">
        <f>AVERAGE(B56:B61)</f>
        <v>4.1315</v>
      </c>
      <c r="G58" t="s">
        <v>130</v>
      </c>
      <c r="H58">
        <v>6.1070000000000002</v>
      </c>
      <c r="J58" s="1">
        <f>AVERAGE(H56:H61)</f>
        <v>9.2361666666666675</v>
      </c>
    </row>
    <row r="59" spans="1:10" x14ac:dyDescent="0.35">
      <c r="A59" t="s">
        <v>59</v>
      </c>
      <c r="B59">
        <v>6.7779999999999996</v>
      </c>
      <c r="G59" t="s">
        <v>131</v>
      </c>
      <c r="H59">
        <v>30.006</v>
      </c>
    </row>
    <row r="60" spans="1:10" x14ac:dyDescent="0.35">
      <c r="A60" t="s">
        <v>60</v>
      </c>
      <c r="B60">
        <v>8.2680000000000007</v>
      </c>
      <c r="G60" t="s">
        <v>132</v>
      </c>
      <c r="H60">
        <v>12.422000000000001</v>
      </c>
    </row>
    <row r="61" spans="1:10" x14ac:dyDescent="0.35">
      <c r="A61" t="s">
        <v>61</v>
      </c>
      <c r="B61">
        <v>3.0289999999999999</v>
      </c>
      <c r="G61" t="s">
        <v>133</v>
      </c>
      <c r="H61">
        <v>6.53</v>
      </c>
    </row>
    <row r="62" spans="1:10" x14ac:dyDescent="0.35">
      <c r="A62" t="s">
        <v>62</v>
      </c>
      <c r="B62">
        <v>8.2000000000000003E-2</v>
      </c>
      <c r="G62" t="s">
        <v>134</v>
      </c>
      <c r="H62">
        <v>8.8999999999999996E-2</v>
      </c>
    </row>
    <row r="63" spans="1:10" x14ac:dyDescent="0.35">
      <c r="A63" t="s">
        <v>63</v>
      </c>
      <c r="B63">
        <v>7.1999999999999995E-2</v>
      </c>
      <c r="G63" t="s">
        <v>135</v>
      </c>
      <c r="H63">
        <v>0.55900000000000005</v>
      </c>
    </row>
    <row r="64" spans="1:10" x14ac:dyDescent="0.35">
      <c r="A64" t="s">
        <v>64</v>
      </c>
      <c r="B64">
        <v>1.875</v>
      </c>
      <c r="D64" s="1">
        <f>AVERAGE(B62:B67)</f>
        <v>6.8765000000000001</v>
      </c>
      <c r="G64" t="s">
        <v>136</v>
      </c>
      <c r="H64">
        <v>2.4209999999999998</v>
      </c>
      <c r="J64" s="1">
        <f>AVERAGE(H62:H67)</f>
        <v>5.1663333333333332</v>
      </c>
    </row>
    <row r="65" spans="1:10" x14ac:dyDescent="0.35">
      <c r="A65" t="s">
        <v>65</v>
      </c>
      <c r="B65">
        <v>12.452</v>
      </c>
      <c r="G65" t="s">
        <v>137</v>
      </c>
      <c r="H65">
        <v>4.952</v>
      </c>
    </row>
    <row r="66" spans="1:10" x14ac:dyDescent="0.35">
      <c r="A66" t="s">
        <v>66</v>
      </c>
      <c r="B66">
        <v>21.207999999999998</v>
      </c>
      <c r="G66" t="s">
        <v>138</v>
      </c>
      <c r="H66">
        <v>18.733000000000001</v>
      </c>
    </row>
    <row r="67" spans="1:10" x14ac:dyDescent="0.35">
      <c r="A67" t="s">
        <v>67</v>
      </c>
      <c r="B67">
        <v>5.57</v>
      </c>
      <c r="G67" t="s">
        <v>139</v>
      </c>
      <c r="H67">
        <v>4.2439999999999998</v>
      </c>
    </row>
    <row r="68" spans="1:10" x14ac:dyDescent="0.35">
      <c r="A68" t="s">
        <v>68</v>
      </c>
      <c r="B68">
        <v>0.09</v>
      </c>
      <c r="G68" t="s">
        <v>140</v>
      </c>
      <c r="H68">
        <v>0.108</v>
      </c>
    </row>
    <row r="69" spans="1:10" x14ac:dyDescent="0.35">
      <c r="A69" t="s">
        <v>69</v>
      </c>
      <c r="B69">
        <v>2.5640000000000001</v>
      </c>
      <c r="G69" t="s">
        <v>141</v>
      </c>
      <c r="H69">
        <v>1.5760000000000001</v>
      </c>
    </row>
    <row r="70" spans="1:10" x14ac:dyDescent="0.35">
      <c r="A70" t="s">
        <v>70</v>
      </c>
      <c r="B70">
        <v>4.3710000000000004</v>
      </c>
      <c r="D70" s="1">
        <f>AVERAGE(B68:B73)</f>
        <v>11.391500000000001</v>
      </c>
      <c r="G70" t="s">
        <v>142</v>
      </c>
      <c r="H70">
        <v>3.1059999999999999</v>
      </c>
      <c r="J70" s="1">
        <f>AVERAGE(H68:H73)</f>
        <v>4.9198333333333331</v>
      </c>
    </row>
    <row r="71" spans="1:10" x14ac:dyDescent="0.35">
      <c r="A71" t="s">
        <v>71</v>
      </c>
      <c r="B71">
        <v>12.755000000000001</v>
      </c>
      <c r="G71" t="s">
        <v>143</v>
      </c>
      <c r="H71">
        <v>9.2680000000000007</v>
      </c>
    </row>
    <row r="72" spans="1:10" x14ac:dyDescent="0.35">
      <c r="A72" t="s">
        <v>72</v>
      </c>
      <c r="B72">
        <v>24.09</v>
      </c>
      <c r="G72" t="s">
        <v>144</v>
      </c>
      <c r="H72">
        <v>9.6509999999999998</v>
      </c>
    </row>
    <row r="73" spans="1:10" x14ac:dyDescent="0.35">
      <c r="A73" t="s">
        <v>73</v>
      </c>
      <c r="B73">
        <v>24.478999999999999</v>
      </c>
      <c r="G73" t="s">
        <v>145</v>
      </c>
      <c r="H73">
        <v>5.81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G2" sqref="G2:G73"/>
    </sheetView>
  </sheetViews>
  <sheetFormatPr defaultRowHeight="14.5" x14ac:dyDescent="0.35"/>
  <sheetData>
    <row r="1" spans="1:9" x14ac:dyDescent="0.35">
      <c r="A1" t="s">
        <v>0</v>
      </c>
      <c r="B1" t="s">
        <v>148</v>
      </c>
      <c r="F1" t="s">
        <v>0</v>
      </c>
      <c r="G1" t="s">
        <v>148</v>
      </c>
    </row>
    <row r="2" spans="1:9" x14ac:dyDescent="0.35">
      <c r="A2" t="s">
        <v>2</v>
      </c>
      <c r="B2">
        <v>0.36</v>
      </c>
      <c r="F2" t="s">
        <v>74</v>
      </c>
      <c r="G2">
        <v>0.317</v>
      </c>
    </row>
    <row r="3" spans="1:9" x14ac:dyDescent="0.35">
      <c r="A3" t="s">
        <v>3</v>
      </c>
      <c r="B3">
        <v>1.6279999999999999</v>
      </c>
      <c r="F3" t="s">
        <v>75</v>
      </c>
      <c r="G3">
        <v>1.046</v>
      </c>
    </row>
    <row r="4" spans="1:9" x14ac:dyDescent="0.35">
      <c r="A4" t="s">
        <v>4</v>
      </c>
      <c r="B4">
        <v>8.8070000000000004</v>
      </c>
      <c r="C4" s="1">
        <f>AVERAGE(B2:B7)</f>
        <v>6.0246666666666675</v>
      </c>
      <c r="F4" t="s">
        <v>76</v>
      </c>
      <c r="G4">
        <v>5.1269999999999998</v>
      </c>
      <c r="H4" s="1">
        <f>AVERAGE(G2:G7)</f>
        <v>5.9118333333333339</v>
      </c>
    </row>
    <row r="5" spans="1:9" x14ac:dyDescent="0.35">
      <c r="A5" t="s">
        <v>5</v>
      </c>
      <c r="B5">
        <v>13.073</v>
      </c>
      <c r="D5" s="3">
        <f>AVERAGE(C4,C10,C16,C22,C28,C34,C40,C46,C52,C58,C64,C70)</f>
        <v>5.9485972222222232</v>
      </c>
      <c r="E5" s="3"/>
      <c r="F5" t="s">
        <v>77</v>
      </c>
      <c r="G5">
        <v>19.146999999999998</v>
      </c>
      <c r="I5" s="3">
        <f>AVERAGE(H4,H10,H16,H22,H28,H34,H40,H46,H52,H58,H64,H70)</f>
        <v>4.6747500000000004</v>
      </c>
    </row>
    <row r="6" spans="1:9" x14ac:dyDescent="0.35">
      <c r="A6" t="s">
        <v>6</v>
      </c>
      <c r="B6">
        <v>9.8680000000000003</v>
      </c>
      <c r="F6" t="s">
        <v>78</v>
      </c>
      <c r="G6">
        <v>7.2240000000000002</v>
      </c>
    </row>
    <row r="7" spans="1:9" x14ac:dyDescent="0.35">
      <c r="A7" t="s">
        <v>7</v>
      </c>
      <c r="B7">
        <v>2.4119999999999999</v>
      </c>
      <c r="F7" t="s">
        <v>79</v>
      </c>
      <c r="G7">
        <v>2.61</v>
      </c>
    </row>
    <row r="8" spans="1:9" x14ac:dyDescent="0.35">
      <c r="A8" t="s">
        <v>8</v>
      </c>
      <c r="B8">
        <v>0.25800000000000001</v>
      </c>
      <c r="F8" t="s">
        <v>80</v>
      </c>
      <c r="G8">
        <v>0.14299999999999999</v>
      </c>
    </row>
    <row r="9" spans="1:9" x14ac:dyDescent="0.35">
      <c r="A9" t="s">
        <v>9</v>
      </c>
      <c r="B9">
        <v>8.282</v>
      </c>
      <c r="F9" t="s">
        <v>81</v>
      </c>
      <c r="G9">
        <v>1.0820000000000001</v>
      </c>
    </row>
    <row r="10" spans="1:9" x14ac:dyDescent="0.35">
      <c r="A10" t="s">
        <v>10</v>
      </c>
      <c r="B10">
        <v>4.6829999999999998</v>
      </c>
      <c r="C10" s="1">
        <f>AVERAGE(B8:B13)</f>
        <v>7.1318333333333328</v>
      </c>
      <c r="F10" t="s">
        <v>82</v>
      </c>
      <c r="G10">
        <v>13.691000000000001</v>
      </c>
      <c r="H10" s="1">
        <f>AVERAGE(G8:G13)</f>
        <v>4.0744999999999996</v>
      </c>
    </row>
    <row r="11" spans="1:9" x14ac:dyDescent="0.35">
      <c r="A11" t="s">
        <v>11</v>
      </c>
      <c r="B11">
        <v>16.959</v>
      </c>
      <c r="F11" t="s">
        <v>83</v>
      </c>
      <c r="G11">
        <v>3.8039999999999998</v>
      </c>
    </row>
    <row r="12" spans="1:9" x14ac:dyDescent="0.35">
      <c r="A12" t="s">
        <v>12</v>
      </c>
      <c r="B12">
        <v>10.638</v>
      </c>
      <c r="F12" t="s">
        <v>84</v>
      </c>
      <c r="G12">
        <v>3.581</v>
      </c>
    </row>
    <row r="13" spans="1:9" x14ac:dyDescent="0.35">
      <c r="A13" t="s">
        <v>13</v>
      </c>
      <c r="B13">
        <v>1.9710000000000001</v>
      </c>
      <c r="F13" t="s">
        <v>85</v>
      </c>
      <c r="G13">
        <v>2.1459999999999999</v>
      </c>
    </row>
    <row r="14" spans="1:9" x14ac:dyDescent="0.35">
      <c r="A14" t="s">
        <v>14</v>
      </c>
      <c r="B14">
        <v>0.28799999999999998</v>
      </c>
      <c r="F14" t="s">
        <v>86</v>
      </c>
      <c r="G14">
        <v>0.35499999999999998</v>
      </c>
    </row>
    <row r="15" spans="1:9" x14ac:dyDescent="0.35">
      <c r="A15" t="s">
        <v>15</v>
      </c>
      <c r="B15">
        <v>1.204</v>
      </c>
      <c r="F15" t="s">
        <v>87</v>
      </c>
      <c r="G15">
        <v>4.7060000000000004</v>
      </c>
    </row>
    <row r="16" spans="1:9" x14ac:dyDescent="0.35">
      <c r="A16" t="s">
        <v>16</v>
      </c>
      <c r="B16">
        <v>20.064</v>
      </c>
      <c r="C16" s="1">
        <f>AVERAGE(B14:B19)</f>
        <v>7.7138333333333335</v>
      </c>
      <c r="F16" t="s">
        <v>88</v>
      </c>
      <c r="G16">
        <v>3.47</v>
      </c>
      <c r="H16" s="1">
        <f>AVERAGE(G14:G19)</f>
        <v>5.3521666666666663</v>
      </c>
    </row>
    <row r="17" spans="1:8" x14ac:dyDescent="0.35">
      <c r="A17" t="s">
        <v>17</v>
      </c>
      <c r="B17">
        <v>7.8719999999999999</v>
      </c>
      <c r="F17" t="s">
        <v>89</v>
      </c>
      <c r="G17">
        <v>13.67</v>
      </c>
    </row>
    <row r="18" spans="1:8" x14ac:dyDescent="0.35">
      <c r="A18" t="s">
        <v>18</v>
      </c>
      <c r="B18">
        <v>9.7110000000000003</v>
      </c>
      <c r="F18" t="s">
        <v>90</v>
      </c>
      <c r="G18">
        <v>7.5720000000000001</v>
      </c>
    </row>
    <row r="19" spans="1:8" x14ac:dyDescent="0.35">
      <c r="A19" t="s">
        <v>19</v>
      </c>
      <c r="B19">
        <v>7.1440000000000001</v>
      </c>
      <c r="F19" t="s">
        <v>91</v>
      </c>
      <c r="G19">
        <v>2.34</v>
      </c>
    </row>
    <row r="20" spans="1:8" x14ac:dyDescent="0.35">
      <c r="A20" t="s">
        <v>20</v>
      </c>
      <c r="B20">
        <v>0.33400000000000002</v>
      </c>
      <c r="F20" t="s">
        <v>92</v>
      </c>
      <c r="G20">
        <v>0.373</v>
      </c>
    </row>
    <row r="21" spans="1:8" x14ac:dyDescent="0.35">
      <c r="A21" t="s">
        <v>21</v>
      </c>
      <c r="B21">
        <v>1.252</v>
      </c>
      <c r="F21" t="s">
        <v>93</v>
      </c>
      <c r="G21">
        <v>1.7090000000000001</v>
      </c>
    </row>
    <row r="22" spans="1:8" x14ac:dyDescent="0.35">
      <c r="A22" t="s">
        <v>22</v>
      </c>
      <c r="B22">
        <v>5.6420000000000003</v>
      </c>
      <c r="C22" s="1">
        <f>AVERAGE(B20:B25)</f>
        <v>4.9576666666666673</v>
      </c>
      <c r="F22" t="s">
        <v>94</v>
      </c>
      <c r="G22">
        <v>7.7560000000000002</v>
      </c>
      <c r="H22" s="1">
        <f>AVERAGE(G20:G25)</f>
        <v>4.3723333333333336</v>
      </c>
    </row>
    <row r="23" spans="1:8" x14ac:dyDescent="0.35">
      <c r="A23" t="s">
        <v>23</v>
      </c>
      <c r="B23">
        <v>5.8339999999999996</v>
      </c>
      <c r="F23" t="s">
        <v>95</v>
      </c>
      <c r="G23">
        <v>9.7080000000000002</v>
      </c>
    </row>
    <row r="24" spans="1:8" x14ac:dyDescent="0.35">
      <c r="A24" t="s">
        <v>24</v>
      </c>
      <c r="B24">
        <v>14.912000000000001</v>
      </c>
      <c r="F24" t="s">
        <v>96</v>
      </c>
      <c r="G24">
        <v>4.49</v>
      </c>
    </row>
    <row r="25" spans="1:8" x14ac:dyDescent="0.35">
      <c r="A25" t="s">
        <v>25</v>
      </c>
      <c r="B25">
        <v>1.772</v>
      </c>
      <c r="F25" t="s">
        <v>97</v>
      </c>
      <c r="G25">
        <v>2.198</v>
      </c>
    </row>
    <row r="26" spans="1:8" x14ac:dyDescent="0.35">
      <c r="A26" t="s">
        <v>26</v>
      </c>
      <c r="B26">
        <v>8.7999999999999995E-2</v>
      </c>
      <c r="F26" t="s">
        <v>98</v>
      </c>
      <c r="G26">
        <v>0.217</v>
      </c>
    </row>
    <row r="27" spans="1:8" x14ac:dyDescent="0.35">
      <c r="A27" t="s">
        <v>27</v>
      </c>
      <c r="B27">
        <v>8.2379999999999995</v>
      </c>
      <c r="F27" t="s">
        <v>99</v>
      </c>
      <c r="G27">
        <v>0.42499999999999999</v>
      </c>
    </row>
    <row r="28" spans="1:8" x14ac:dyDescent="0.35">
      <c r="A28" t="s">
        <v>28</v>
      </c>
      <c r="B28">
        <v>6.69</v>
      </c>
      <c r="C28" s="1">
        <f>AVERAGE(B26:B31)</f>
        <v>8.910166666666667</v>
      </c>
      <c r="F28" t="s">
        <v>100</v>
      </c>
      <c r="G28">
        <v>12.036</v>
      </c>
      <c r="H28" s="1">
        <f>AVERAGE(G26:G31)</f>
        <v>5.7029999999999994</v>
      </c>
    </row>
    <row r="29" spans="1:8" x14ac:dyDescent="0.35">
      <c r="A29" t="s">
        <v>29</v>
      </c>
      <c r="B29">
        <v>18.036000000000001</v>
      </c>
      <c r="F29" t="s">
        <v>101</v>
      </c>
      <c r="G29">
        <v>7.4450000000000003</v>
      </c>
    </row>
    <row r="30" spans="1:8" x14ac:dyDescent="0.35">
      <c r="A30" t="s">
        <v>30</v>
      </c>
      <c r="B30">
        <v>17.838999999999999</v>
      </c>
      <c r="F30" t="s">
        <v>102</v>
      </c>
      <c r="G30">
        <v>11.04</v>
      </c>
    </row>
    <row r="31" spans="1:8" x14ac:dyDescent="0.35">
      <c r="A31" t="s">
        <v>31</v>
      </c>
      <c r="B31">
        <v>2.57</v>
      </c>
      <c r="F31" t="s">
        <v>103</v>
      </c>
      <c r="G31">
        <v>3.0550000000000002</v>
      </c>
    </row>
    <row r="32" spans="1:8" x14ac:dyDescent="0.35">
      <c r="A32" t="s">
        <v>32</v>
      </c>
      <c r="B32">
        <v>0.25800000000000001</v>
      </c>
      <c r="F32" t="s">
        <v>104</v>
      </c>
      <c r="G32">
        <v>6.6000000000000003E-2</v>
      </c>
    </row>
    <row r="33" spans="1:8" x14ac:dyDescent="0.35">
      <c r="A33" t="s">
        <v>33</v>
      </c>
      <c r="B33">
        <v>1.64</v>
      </c>
      <c r="F33" t="s">
        <v>105</v>
      </c>
      <c r="G33">
        <v>2.3839999999999999</v>
      </c>
    </row>
    <row r="34" spans="1:8" x14ac:dyDescent="0.35">
      <c r="A34" t="s">
        <v>34</v>
      </c>
      <c r="B34">
        <v>9.9380000000000006</v>
      </c>
      <c r="C34" s="1">
        <f>AVERAGE(B32:B37)</f>
        <v>5.9115000000000002</v>
      </c>
      <c r="F34" t="s">
        <v>106</v>
      </c>
      <c r="G34">
        <v>5.2969999999999997</v>
      </c>
      <c r="H34" s="1">
        <f>AVERAGE(G32:G37)</f>
        <v>2.7318333333333338</v>
      </c>
    </row>
    <row r="35" spans="1:8" x14ac:dyDescent="0.35">
      <c r="A35" t="s">
        <v>35</v>
      </c>
      <c r="B35">
        <v>12.932</v>
      </c>
      <c r="F35" t="s">
        <v>107</v>
      </c>
      <c r="G35">
        <v>5.141</v>
      </c>
    </row>
    <row r="36" spans="1:8" x14ac:dyDescent="0.35">
      <c r="A36" t="s">
        <v>36</v>
      </c>
      <c r="B36">
        <v>7.71</v>
      </c>
      <c r="F36" t="s">
        <v>108</v>
      </c>
      <c r="G36">
        <v>2.258</v>
      </c>
    </row>
    <row r="37" spans="1:8" x14ac:dyDescent="0.35">
      <c r="A37" t="s">
        <v>37</v>
      </c>
      <c r="B37">
        <v>2.9910000000000001</v>
      </c>
      <c r="F37" t="s">
        <v>109</v>
      </c>
      <c r="G37">
        <v>1.2450000000000001</v>
      </c>
    </row>
    <row r="38" spans="1:8" x14ac:dyDescent="0.35">
      <c r="A38" t="s">
        <v>38</v>
      </c>
      <c r="B38">
        <v>0.73499999999999999</v>
      </c>
      <c r="F38" t="s">
        <v>110</v>
      </c>
      <c r="G38">
        <v>0.29199999999999998</v>
      </c>
    </row>
    <row r="39" spans="1:8" x14ac:dyDescent="0.35">
      <c r="A39" t="s">
        <v>39</v>
      </c>
      <c r="B39">
        <v>3.6720000000000002</v>
      </c>
      <c r="F39" t="s">
        <v>111</v>
      </c>
      <c r="G39">
        <v>1.8580000000000001</v>
      </c>
    </row>
    <row r="40" spans="1:8" x14ac:dyDescent="0.35">
      <c r="A40" t="s">
        <v>40</v>
      </c>
      <c r="B40">
        <v>13.718999999999999</v>
      </c>
      <c r="C40" s="1">
        <f>AVERAGE(B38:B43)</f>
        <v>7.0473333333333317</v>
      </c>
      <c r="F40" t="s">
        <v>112</v>
      </c>
      <c r="G40">
        <v>5.657</v>
      </c>
      <c r="H40" s="1">
        <f>AVERAGE(G38:G43)</f>
        <v>4.3246666666666664</v>
      </c>
    </row>
    <row r="41" spans="1:8" x14ac:dyDescent="0.35">
      <c r="A41" t="s">
        <v>41</v>
      </c>
      <c r="B41">
        <v>10.095000000000001</v>
      </c>
      <c r="F41" t="s">
        <v>113</v>
      </c>
      <c r="G41">
        <v>11.252000000000001</v>
      </c>
    </row>
    <row r="42" spans="1:8" x14ac:dyDescent="0.35">
      <c r="A42" t="s">
        <v>42</v>
      </c>
      <c r="B42">
        <v>9.7149999999999999</v>
      </c>
      <c r="F42" t="s">
        <v>114</v>
      </c>
      <c r="G42">
        <v>3.6019999999999999</v>
      </c>
    </row>
    <row r="43" spans="1:8" x14ac:dyDescent="0.35">
      <c r="A43" t="s">
        <v>43</v>
      </c>
      <c r="B43">
        <v>4.3479999999999999</v>
      </c>
      <c r="F43" t="s">
        <v>115</v>
      </c>
      <c r="G43">
        <v>3.2869999999999999</v>
      </c>
    </row>
    <row r="44" spans="1:8" x14ac:dyDescent="0.35">
      <c r="A44" t="s">
        <v>44</v>
      </c>
      <c r="B44">
        <v>0.22700000000000001</v>
      </c>
      <c r="F44" t="s">
        <v>116</v>
      </c>
      <c r="G44">
        <v>0.21099999999999999</v>
      </c>
    </row>
    <row r="45" spans="1:8" x14ac:dyDescent="0.35">
      <c r="A45" t="s">
        <v>45</v>
      </c>
      <c r="B45">
        <v>2.0699999999999998</v>
      </c>
      <c r="F45" t="s">
        <v>117</v>
      </c>
      <c r="G45">
        <v>0.496</v>
      </c>
    </row>
    <row r="46" spans="1:8" x14ac:dyDescent="0.35">
      <c r="A46" t="s">
        <v>46</v>
      </c>
      <c r="B46">
        <v>4.1500000000000004</v>
      </c>
      <c r="C46" s="1">
        <f>AVERAGE(B44:B49)</f>
        <v>5.2690000000000001</v>
      </c>
      <c r="F46" t="s">
        <v>118</v>
      </c>
      <c r="G46">
        <v>4.2510000000000003</v>
      </c>
      <c r="H46" s="1">
        <f>AVERAGE(G44:G49)</f>
        <v>5.7331666666666665</v>
      </c>
    </row>
    <row r="47" spans="1:8" x14ac:dyDescent="0.35">
      <c r="A47" t="s">
        <v>47</v>
      </c>
      <c r="B47">
        <v>10.125</v>
      </c>
      <c r="F47" t="s">
        <v>119</v>
      </c>
      <c r="G47">
        <v>11.057</v>
      </c>
    </row>
    <row r="48" spans="1:8" x14ac:dyDescent="0.35">
      <c r="A48" t="s">
        <v>48</v>
      </c>
      <c r="B48">
        <v>11.753</v>
      </c>
      <c r="F48" t="s">
        <v>120</v>
      </c>
      <c r="G48">
        <v>15.77</v>
      </c>
    </row>
    <row r="49" spans="1:8" x14ac:dyDescent="0.35">
      <c r="A49" t="s">
        <v>49</v>
      </c>
      <c r="B49">
        <v>3.2890000000000001</v>
      </c>
      <c r="F49" t="s">
        <v>121</v>
      </c>
      <c r="G49">
        <v>2.6139999999999999</v>
      </c>
    </row>
    <row r="50" spans="1:8" x14ac:dyDescent="0.35">
      <c r="A50" t="s">
        <v>50</v>
      </c>
      <c r="B50">
        <v>0.59499999999999997</v>
      </c>
      <c r="F50" t="s">
        <v>122</v>
      </c>
      <c r="G50">
        <v>5.2999999999999999E-2</v>
      </c>
    </row>
    <row r="51" spans="1:8" x14ac:dyDescent="0.35">
      <c r="A51" t="s">
        <v>51</v>
      </c>
      <c r="B51">
        <v>0.89400000000000002</v>
      </c>
      <c r="F51" t="s">
        <v>123</v>
      </c>
      <c r="G51">
        <v>2.2170000000000001</v>
      </c>
    </row>
    <row r="52" spans="1:8" x14ac:dyDescent="0.35">
      <c r="A52" t="s">
        <v>52</v>
      </c>
      <c r="B52">
        <v>3.64</v>
      </c>
      <c r="C52" s="1">
        <f>AVERAGE(B50:B55)</f>
        <v>3.8155000000000001</v>
      </c>
      <c r="F52" t="s">
        <v>124</v>
      </c>
      <c r="G52">
        <v>4.0410000000000004</v>
      </c>
      <c r="H52" s="1">
        <f>AVERAGE(G50:G55)</f>
        <v>3.9158333333333335</v>
      </c>
    </row>
    <row r="53" spans="1:8" x14ac:dyDescent="0.35">
      <c r="A53" t="s">
        <v>53</v>
      </c>
      <c r="B53">
        <v>10.95</v>
      </c>
      <c r="F53" t="s">
        <v>125</v>
      </c>
      <c r="G53">
        <v>10.163</v>
      </c>
    </row>
    <row r="54" spans="1:8" x14ac:dyDescent="0.35">
      <c r="A54" t="s">
        <v>54</v>
      </c>
      <c r="B54">
        <v>3.5369999999999999</v>
      </c>
      <c r="F54" t="s">
        <v>126</v>
      </c>
      <c r="G54">
        <v>5.1310000000000002</v>
      </c>
    </row>
    <row r="55" spans="1:8" x14ac:dyDescent="0.35">
      <c r="A55" t="s">
        <v>55</v>
      </c>
      <c r="B55">
        <v>3.2770000000000001</v>
      </c>
      <c r="F55" t="s">
        <v>127</v>
      </c>
      <c r="G55">
        <v>1.89</v>
      </c>
    </row>
    <row r="56" spans="1:8" x14ac:dyDescent="0.35">
      <c r="A56" t="s">
        <v>56</v>
      </c>
      <c r="B56">
        <v>8.4000000000000005E-2</v>
      </c>
      <c r="F56" t="s">
        <v>128</v>
      </c>
      <c r="G56">
        <v>0.22700000000000001</v>
      </c>
    </row>
    <row r="57" spans="1:8" x14ac:dyDescent="0.35">
      <c r="A57" t="s">
        <v>57</v>
      </c>
      <c r="B57">
        <v>2.7080000000000002</v>
      </c>
      <c r="F57" t="s">
        <v>129</v>
      </c>
      <c r="G57">
        <v>0.64300000000000002</v>
      </c>
    </row>
    <row r="58" spans="1:8" x14ac:dyDescent="0.35">
      <c r="A58" t="s">
        <v>58</v>
      </c>
      <c r="B58">
        <v>3.274</v>
      </c>
      <c r="C58" s="1">
        <f>AVERAGE(B56:B61)</f>
        <v>3.5611666666666668</v>
      </c>
      <c r="F58" t="s">
        <v>130</v>
      </c>
      <c r="G58">
        <v>6.7460000000000004</v>
      </c>
      <c r="H58" s="1">
        <f>AVERAGE(G56:G61)</f>
        <v>7.3881666666666668</v>
      </c>
    </row>
    <row r="59" spans="1:8" x14ac:dyDescent="0.35">
      <c r="A59" t="s">
        <v>59</v>
      </c>
      <c r="B59">
        <v>5.7629999999999999</v>
      </c>
      <c r="F59" t="s">
        <v>131</v>
      </c>
      <c r="G59">
        <v>26.49</v>
      </c>
    </row>
    <row r="60" spans="1:8" x14ac:dyDescent="0.35">
      <c r="A60" t="s">
        <v>60</v>
      </c>
      <c r="B60">
        <v>6.9470000000000001</v>
      </c>
      <c r="F60" t="s">
        <v>132</v>
      </c>
      <c r="G60">
        <v>8.0890000000000004</v>
      </c>
    </row>
    <row r="61" spans="1:8" x14ac:dyDescent="0.35">
      <c r="A61" t="s">
        <v>61</v>
      </c>
      <c r="B61">
        <v>2.5910000000000002</v>
      </c>
      <c r="F61" t="s">
        <v>133</v>
      </c>
      <c r="G61">
        <v>2.1339999999999999</v>
      </c>
    </row>
    <row r="62" spans="1:8" x14ac:dyDescent="0.35">
      <c r="A62" t="s">
        <v>62</v>
      </c>
      <c r="B62">
        <v>0.35099999999999998</v>
      </c>
      <c r="F62" t="s">
        <v>134</v>
      </c>
      <c r="G62">
        <v>0.307</v>
      </c>
    </row>
    <row r="63" spans="1:8" x14ac:dyDescent="0.35">
      <c r="A63" t="s">
        <v>63</v>
      </c>
      <c r="B63">
        <v>0.123</v>
      </c>
      <c r="F63" t="s">
        <v>135</v>
      </c>
      <c r="G63">
        <v>1.258</v>
      </c>
    </row>
    <row r="64" spans="1:8" x14ac:dyDescent="0.35">
      <c r="A64" t="s">
        <v>64</v>
      </c>
      <c r="B64">
        <v>3.1349999999999998</v>
      </c>
      <c r="C64" s="1">
        <f>AVERAGE(B62:B67)</f>
        <v>3.8121666666666663</v>
      </c>
      <c r="F64" t="s">
        <v>136</v>
      </c>
      <c r="G64">
        <v>1.873</v>
      </c>
      <c r="H64" s="1">
        <f>AVERAGE(G62:G67)</f>
        <v>3.3359999999999999</v>
      </c>
    </row>
    <row r="65" spans="1:8" x14ac:dyDescent="0.35">
      <c r="A65" t="s">
        <v>65</v>
      </c>
      <c r="B65">
        <v>9.0220000000000002</v>
      </c>
      <c r="F65" t="s">
        <v>137</v>
      </c>
      <c r="G65">
        <v>4.28</v>
      </c>
    </row>
    <row r="66" spans="1:8" x14ac:dyDescent="0.35">
      <c r="A66" t="s">
        <v>66</v>
      </c>
      <c r="B66">
        <v>7.3970000000000002</v>
      </c>
      <c r="F66" t="s">
        <v>138</v>
      </c>
      <c r="G66">
        <v>9.5109999999999992</v>
      </c>
    </row>
    <row r="67" spans="1:8" x14ac:dyDescent="0.35">
      <c r="A67" t="s">
        <v>67</v>
      </c>
      <c r="B67">
        <v>2.8450000000000002</v>
      </c>
      <c r="F67" t="s">
        <v>139</v>
      </c>
      <c r="G67">
        <v>2.7869999999999999</v>
      </c>
    </row>
    <row r="68" spans="1:8" x14ac:dyDescent="0.35">
      <c r="A68" t="s">
        <v>68</v>
      </c>
      <c r="B68">
        <v>0.36599999999999999</v>
      </c>
      <c r="F68" t="s">
        <v>140</v>
      </c>
      <c r="G68">
        <v>0.442</v>
      </c>
    </row>
    <row r="69" spans="1:8" x14ac:dyDescent="0.35">
      <c r="A69" t="s">
        <v>69</v>
      </c>
      <c r="B69">
        <v>2.4750000000000001</v>
      </c>
      <c r="F69" t="s">
        <v>141</v>
      </c>
      <c r="G69">
        <v>3.222</v>
      </c>
    </row>
    <row r="70" spans="1:8" x14ac:dyDescent="0.35">
      <c r="A70" t="s">
        <v>70</v>
      </c>
      <c r="B70">
        <v>4.5410000000000004</v>
      </c>
      <c r="C70" s="1">
        <f>AVERAGE(B68:B73)</f>
        <v>7.2283333333333344</v>
      </c>
      <c r="F70" t="s">
        <v>142</v>
      </c>
      <c r="G70">
        <v>2.863</v>
      </c>
      <c r="H70" s="1">
        <f>AVERAGE(G68:G73)</f>
        <v>3.2535000000000003</v>
      </c>
    </row>
    <row r="71" spans="1:8" x14ac:dyDescent="0.35">
      <c r="A71" t="s">
        <v>71</v>
      </c>
      <c r="B71">
        <v>9.1620000000000008</v>
      </c>
      <c r="F71" t="s">
        <v>143</v>
      </c>
      <c r="G71">
        <v>5.95</v>
      </c>
    </row>
    <row r="72" spans="1:8" x14ac:dyDescent="0.35">
      <c r="A72" t="s">
        <v>72</v>
      </c>
      <c r="B72">
        <v>9.6890000000000001</v>
      </c>
      <c r="F72" t="s">
        <v>144</v>
      </c>
      <c r="G72">
        <v>4.7770000000000001</v>
      </c>
    </row>
    <row r="73" spans="1:8" x14ac:dyDescent="0.35">
      <c r="A73" t="s">
        <v>73</v>
      </c>
      <c r="B73">
        <v>17.137</v>
      </c>
      <c r="F73" t="s">
        <v>145</v>
      </c>
      <c r="G73">
        <v>2.2669999999999999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topLeftCell="F1" workbookViewId="0">
      <selection activeCell="G70" sqref="G70"/>
    </sheetView>
  </sheetViews>
  <sheetFormatPr defaultRowHeight="14.5" x14ac:dyDescent="0.35"/>
  <cols>
    <col min="1" max="1" width="8.7265625" style="11"/>
    <col min="2" max="2" width="11.90625" style="11" customWidth="1"/>
    <col min="3" max="3" width="14.08984375" style="11" customWidth="1"/>
    <col min="4" max="4" width="6.1796875" style="11" customWidth="1"/>
    <col min="5" max="5" width="6.54296875" style="11" customWidth="1"/>
    <col min="6" max="6" width="9.54296875" style="19" customWidth="1"/>
    <col min="8" max="8" width="10.54296875" bestFit="1" customWidth="1"/>
    <col min="9" max="9" width="13.7265625" bestFit="1" customWidth="1"/>
    <col min="12" max="12" width="10.26953125" style="26" bestFit="1" customWidth="1"/>
    <col min="13" max="13" width="11" bestFit="1" customWidth="1"/>
    <col min="14" max="14" width="11.36328125" bestFit="1" customWidth="1"/>
    <col min="15" max="15" width="13.81640625" bestFit="1" customWidth="1"/>
    <col min="16" max="16" width="9.36328125" bestFit="1" customWidth="1"/>
    <col min="17" max="17" width="9.7265625" customWidth="1"/>
    <col min="19" max="19" width="11" bestFit="1" customWidth="1"/>
    <col min="20" max="20" width="10.54296875" bestFit="1" customWidth="1"/>
    <col min="21" max="21" width="13.7265625" bestFit="1" customWidth="1"/>
  </cols>
  <sheetData>
    <row r="1" spans="1:23" x14ac:dyDescent="0.35">
      <c r="A1" s="11">
        <f ca="1">A1:E66</f>
        <v>0</v>
      </c>
      <c r="B1" s="64" t="s">
        <v>151</v>
      </c>
      <c r="C1" s="64"/>
      <c r="D1" s="64"/>
      <c r="E1" s="64"/>
      <c r="G1" s="20">
        <f ca="1">G1:K66</f>
        <v>0</v>
      </c>
      <c r="H1" s="64" t="s">
        <v>182</v>
      </c>
      <c r="I1" s="64"/>
      <c r="J1" s="64"/>
      <c r="K1" s="64"/>
      <c r="L1" s="14"/>
      <c r="N1" s="65" t="s">
        <v>168</v>
      </c>
      <c r="O1" s="65"/>
      <c r="P1" s="65"/>
      <c r="Q1" s="65"/>
      <c r="R1" s="10"/>
      <c r="T1" s="65" t="s">
        <v>181</v>
      </c>
      <c r="U1" s="65"/>
      <c r="V1" s="65"/>
      <c r="W1" s="65"/>
    </row>
    <row r="2" spans="1:23" x14ac:dyDescent="0.35">
      <c r="A2" s="12" t="s">
        <v>0</v>
      </c>
      <c r="B2" s="12" t="s">
        <v>150</v>
      </c>
      <c r="C2" s="12" t="s">
        <v>149</v>
      </c>
      <c r="D2" s="12" t="s">
        <v>147</v>
      </c>
      <c r="E2" s="12" t="s">
        <v>148</v>
      </c>
      <c r="F2" s="18" t="s">
        <v>166</v>
      </c>
      <c r="G2" s="21" t="s">
        <v>0</v>
      </c>
      <c r="H2" s="12" t="s">
        <v>150</v>
      </c>
      <c r="I2" s="12" t="s">
        <v>149</v>
      </c>
      <c r="J2" s="12" t="s">
        <v>147</v>
      </c>
      <c r="K2" s="30" t="s">
        <v>148</v>
      </c>
      <c r="L2" s="14" t="s">
        <v>166</v>
      </c>
      <c r="M2" s="33" t="s">
        <v>0</v>
      </c>
      <c r="N2" s="17" t="s">
        <v>150</v>
      </c>
      <c r="O2" s="17" t="s">
        <v>149</v>
      </c>
      <c r="P2" s="17" t="s">
        <v>147</v>
      </c>
      <c r="Q2" s="17" t="s">
        <v>148</v>
      </c>
      <c r="S2" s="33" t="s">
        <v>0</v>
      </c>
      <c r="T2" s="17" t="s">
        <v>150</v>
      </c>
      <c r="U2" s="17" t="s">
        <v>149</v>
      </c>
      <c r="V2" s="17" t="s">
        <v>147</v>
      </c>
      <c r="W2" s="17" t="s">
        <v>148</v>
      </c>
    </row>
    <row r="3" spans="1:23" x14ac:dyDescent="0.35">
      <c r="A3" s="13" t="s">
        <v>2</v>
      </c>
      <c r="B3" s="13">
        <v>1.6819999999999999</v>
      </c>
      <c r="C3" s="13">
        <v>3114.192</v>
      </c>
      <c r="D3" s="13">
        <v>0.1</v>
      </c>
      <c r="E3" s="13">
        <v>0.36</v>
      </c>
      <c r="F3" s="24">
        <f>AVERAGE(B3:B8)</f>
        <v>3063.5766666666664</v>
      </c>
      <c r="G3" s="22" t="s">
        <v>74</v>
      </c>
      <c r="H3" s="13">
        <v>3.1E-2</v>
      </c>
      <c r="I3" s="13">
        <v>3418.0889999999999</v>
      </c>
      <c r="J3" s="13">
        <v>8.4000000000000005E-2</v>
      </c>
      <c r="K3" s="31">
        <v>0.317</v>
      </c>
      <c r="L3" s="28">
        <f>AVERAGE(H3:H8)</f>
        <v>4179.4073333333336</v>
      </c>
      <c r="M3" s="34" t="s">
        <v>154</v>
      </c>
      <c r="N3" s="25">
        <v>3063.5766666666664</v>
      </c>
      <c r="O3" s="25">
        <v>2241.3366666666666</v>
      </c>
      <c r="P3" s="25">
        <v>7.2148333333333339</v>
      </c>
      <c r="Q3" s="25">
        <v>6.0246666666666675</v>
      </c>
      <c r="S3" s="34" t="s">
        <v>169</v>
      </c>
      <c r="T3" s="29">
        <v>4179.4073333333336</v>
      </c>
      <c r="U3" s="29">
        <v>2225.4830000000002</v>
      </c>
      <c r="V3" s="29">
        <v>8.8866666666666667</v>
      </c>
      <c r="W3" s="29">
        <v>5.9118333333333339</v>
      </c>
    </row>
    <row r="4" spans="1:23" x14ac:dyDescent="0.35">
      <c r="A4" s="13" t="s">
        <v>3</v>
      </c>
      <c r="B4" s="13">
        <v>101.711</v>
      </c>
      <c r="C4" s="13">
        <v>2879.569</v>
      </c>
      <c r="D4" s="13">
        <v>0.67900000000000005</v>
      </c>
      <c r="E4" s="13">
        <v>1.6279999999999999</v>
      </c>
      <c r="F4" s="24">
        <f>AVERAGE(C3:C8)</f>
        <v>2241.3366666666666</v>
      </c>
      <c r="G4" s="22" t="s">
        <v>75</v>
      </c>
      <c r="H4" s="13">
        <v>292.82299999999998</v>
      </c>
      <c r="I4" s="13">
        <v>2765.1469999999999</v>
      </c>
      <c r="J4" s="13">
        <v>0.65900000000000003</v>
      </c>
      <c r="K4" s="31">
        <v>1.046</v>
      </c>
      <c r="L4" s="28">
        <f>AVERAGE(I3:I8)</f>
        <v>2225.4830000000002</v>
      </c>
      <c r="M4" s="34" t="s">
        <v>155</v>
      </c>
      <c r="N4" s="25">
        <v>4578.5826666666662</v>
      </c>
      <c r="O4" s="25">
        <v>1835.9068</v>
      </c>
      <c r="P4" s="25">
        <v>10.174666666666667</v>
      </c>
      <c r="Q4" s="25">
        <v>7.1318333333333328</v>
      </c>
      <c r="S4" s="34" t="s">
        <v>170</v>
      </c>
      <c r="T4" s="29">
        <v>2856.2886666666673</v>
      </c>
      <c r="U4" s="29">
        <v>2134.2726000000002</v>
      </c>
      <c r="V4" s="29">
        <v>6.1305000000000005</v>
      </c>
      <c r="W4" s="29">
        <v>4.0744999999999996</v>
      </c>
    </row>
    <row r="5" spans="1:23" x14ac:dyDescent="0.35">
      <c r="A5" s="13" t="s">
        <v>4</v>
      </c>
      <c r="B5" s="13">
        <v>4434.0389999999998</v>
      </c>
      <c r="C5" s="13">
        <v>1831.175</v>
      </c>
      <c r="D5" s="13">
        <v>8.3729999999999993</v>
      </c>
      <c r="E5" s="13">
        <v>8.8070000000000004</v>
      </c>
      <c r="F5" s="24">
        <f>AVERAGE(D3:D8)</f>
        <v>7.2148333333333339</v>
      </c>
      <c r="G5" s="22" t="s">
        <v>76</v>
      </c>
      <c r="H5" s="13">
        <v>2926.13</v>
      </c>
      <c r="I5" s="13">
        <v>1980.1849999999999</v>
      </c>
      <c r="J5" s="13">
        <v>6.29</v>
      </c>
      <c r="K5" s="31">
        <v>5.1269999999999998</v>
      </c>
      <c r="L5" s="28">
        <f>AVERAGE(J3:J8)</f>
        <v>8.8866666666666667</v>
      </c>
      <c r="M5" s="34" t="s">
        <v>156</v>
      </c>
      <c r="N5" s="25">
        <v>5951.1793333333335</v>
      </c>
      <c r="O5" s="25">
        <v>1817.9322</v>
      </c>
      <c r="P5" s="25">
        <v>12.997833333333332</v>
      </c>
      <c r="Q5" s="25">
        <v>7.7138333333333335</v>
      </c>
      <c r="S5" s="34" t="s">
        <v>171</v>
      </c>
      <c r="T5" s="29">
        <v>2591.2926666666667</v>
      </c>
      <c r="U5" s="29">
        <v>2237.4821666666667</v>
      </c>
      <c r="V5" s="29">
        <v>6.5858333333333334</v>
      </c>
      <c r="W5" s="29">
        <v>5.3521666666666663</v>
      </c>
    </row>
    <row r="6" spans="1:23" x14ac:dyDescent="0.35">
      <c r="A6" s="13" t="s">
        <v>5</v>
      </c>
      <c r="B6" s="13">
        <v>6367.9390000000003</v>
      </c>
      <c r="C6" s="13">
        <v>1670.575</v>
      </c>
      <c r="D6" s="13">
        <v>16.73</v>
      </c>
      <c r="E6" s="13">
        <v>13.073</v>
      </c>
      <c r="F6" s="24">
        <f>AVERAGE(E3:E8)</f>
        <v>6.0246666666666675</v>
      </c>
      <c r="G6" s="22" t="s">
        <v>77</v>
      </c>
      <c r="H6" s="13">
        <v>13741.03</v>
      </c>
      <c r="I6" s="13">
        <v>1367.596</v>
      </c>
      <c r="J6" s="13">
        <v>26.079000000000001</v>
      </c>
      <c r="K6" s="31">
        <v>19.146999999999998</v>
      </c>
      <c r="L6" s="28">
        <f>AVERAGE(K3:K8)</f>
        <v>5.9118333333333339</v>
      </c>
      <c r="M6" s="34" t="s">
        <v>157</v>
      </c>
      <c r="N6" s="25">
        <v>3292.7191666666663</v>
      </c>
      <c r="O6" s="25">
        <v>2062.9415999999997</v>
      </c>
      <c r="P6" s="25">
        <v>7.9683333333333337</v>
      </c>
      <c r="Q6" s="25">
        <v>4.9576666666666673</v>
      </c>
      <c r="S6" s="34" t="s">
        <v>172</v>
      </c>
      <c r="T6" s="29">
        <v>3178.8296666666665</v>
      </c>
      <c r="U6" s="29">
        <v>2015.7164</v>
      </c>
      <c r="V6" s="29">
        <v>7.9556666666666658</v>
      </c>
      <c r="W6" s="29">
        <v>4.3723333333333336</v>
      </c>
    </row>
    <row r="7" spans="1:23" x14ac:dyDescent="0.35">
      <c r="A7" s="13" t="s">
        <v>6</v>
      </c>
      <c r="B7" s="13">
        <v>5937.02</v>
      </c>
      <c r="C7" s="13">
        <v>1716.9449999999999</v>
      </c>
      <c r="D7" s="13">
        <v>13.804</v>
      </c>
      <c r="E7" s="13">
        <v>9.8680000000000003</v>
      </c>
      <c r="G7" s="22" t="s">
        <v>78</v>
      </c>
      <c r="H7" s="13">
        <v>5737.54</v>
      </c>
      <c r="I7" s="13">
        <v>1752.8869999999999</v>
      </c>
      <c r="J7" s="13">
        <v>14.43</v>
      </c>
      <c r="K7" s="31">
        <v>7.2240000000000002</v>
      </c>
      <c r="L7" s="28">
        <v>0</v>
      </c>
      <c r="M7" s="34" t="s">
        <v>158</v>
      </c>
      <c r="N7" s="25">
        <v>5722.6808333333329</v>
      </c>
      <c r="O7" s="25">
        <v>1768.9559999999997</v>
      </c>
      <c r="P7" s="25">
        <v>12.591833333333334</v>
      </c>
      <c r="Q7" s="25">
        <v>8.910166666666667</v>
      </c>
      <c r="S7" s="34" t="s">
        <v>173</v>
      </c>
      <c r="T7" s="29">
        <v>3464.1928333333331</v>
      </c>
      <c r="U7" s="29">
        <v>2022.9788000000001</v>
      </c>
      <c r="V7" s="29">
        <v>8.1105</v>
      </c>
      <c r="W7" s="29">
        <v>5.7029999999999994</v>
      </c>
    </row>
    <row r="8" spans="1:23" x14ac:dyDescent="0.35">
      <c r="A8" s="13" t="s">
        <v>7</v>
      </c>
      <c r="B8" s="13">
        <v>1539.069</v>
      </c>
      <c r="C8" s="13">
        <v>2235.5639999999999</v>
      </c>
      <c r="D8" s="13">
        <v>3.6030000000000002</v>
      </c>
      <c r="E8" s="13">
        <v>2.4119999999999999</v>
      </c>
      <c r="G8" s="22" t="s">
        <v>79</v>
      </c>
      <c r="H8" s="13">
        <v>2378.89</v>
      </c>
      <c r="I8" s="13">
        <v>2068.9940000000001</v>
      </c>
      <c r="J8" s="13">
        <v>5.7779999999999996</v>
      </c>
      <c r="K8" s="31">
        <v>2.61</v>
      </c>
      <c r="L8" s="28">
        <v>0</v>
      </c>
      <c r="M8" s="34" t="s">
        <v>159</v>
      </c>
      <c r="N8" s="25">
        <v>3728.7469999999998</v>
      </c>
      <c r="O8" s="25">
        <v>2171.8229999999999</v>
      </c>
      <c r="P8" s="25">
        <v>9.4113333333333333</v>
      </c>
      <c r="Q8" s="25">
        <v>5.9115000000000002</v>
      </c>
      <c r="S8" s="34" t="s">
        <v>174</v>
      </c>
      <c r="T8" s="29">
        <v>1484.448166666667</v>
      </c>
      <c r="U8" s="29">
        <v>2246.3776000000003</v>
      </c>
      <c r="V8" s="29">
        <v>3.6196666666666668</v>
      </c>
      <c r="W8" s="29">
        <v>2.7318333333333338</v>
      </c>
    </row>
    <row r="9" spans="1:23" x14ac:dyDescent="0.35">
      <c r="A9" s="13" t="s">
        <v>8</v>
      </c>
      <c r="B9" s="13">
        <v>0</v>
      </c>
      <c r="C9" s="13"/>
      <c r="D9" s="13">
        <v>6.3E-2</v>
      </c>
      <c r="E9" s="13">
        <v>0.25800000000000001</v>
      </c>
      <c r="F9" s="24">
        <f>AVERAGE(B9:B14)</f>
        <v>4578.5826666666662</v>
      </c>
      <c r="G9" s="22" t="s">
        <v>80</v>
      </c>
      <c r="H9" s="13">
        <v>0</v>
      </c>
      <c r="I9" s="13"/>
      <c r="J9" s="13">
        <v>0.04</v>
      </c>
      <c r="K9" s="31">
        <v>0.14299999999999999</v>
      </c>
      <c r="L9" s="28">
        <f t="shared" ref="L9" si="0">AVERAGE(H9:H14)</f>
        <v>2856.2886666666673</v>
      </c>
      <c r="M9" s="34" t="s">
        <v>160</v>
      </c>
      <c r="N9" s="25">
        <v>4501.657666666667</v>
      </c>
      <c r="O9" s="25">
        <v>2025.0388333333333</v>
      </c>
      <c r="P9" s="25">
        <v>11.574</v>
      </c>
      <c r="Q9" s="25">
        <v>7.0473333333333317</v>
      </c>
      <c r="S9" s="34" t="s">
        <v>175</v>
      </c>
      <c r="T9" s="29">
        <v>3577.9950000000003</v>
      </c>
      <c r="U9" s="29">
        <v>2209.2315000000003</v>
      </c>
      <c r="V9" s="29">
        <v>8.8486666666666665</v>
      </c>
      <c r="W9" s="29">
        <v>4.3246666666666664</v>
      </c>
    </row>
    <row r="10" spans="1:23" x14ac:dyDescent="0.35">
      <c r="A10" s="13" t="s">
        <v>9</v>
      </c>
      <c r="B10" s="13">
        <v>2039.249</v>
      </c>
      <c r="C10" s="13">
        <v>2045.117</v>
      </c>
      <c r="D10" s="13">
        <v>4.7770000000000001</v>
      </c>
      <c r="E10" s="13">
        <v>8.282</v>
      </c>
      <c r="F10" s="24">
        <f>AVERAGE(C9:C14)</f>
        <v>1835.9068</v>
      </c>
      <c r="G10" s="22" t="s">
        <v>81</v>
      </c>
      <c r="H10" s="13">
        <v>111.27200000000001</v>
      </c>
      <c r="I10" s="13">
        <v>2911.03</v>
      </c>
      <c r="J10" s="13">
        <v>0.45100000000000001</v>
      </c>
      <c r="K10" s="31">
        <v>1.0820000000000001</v>
      </c>
      <c r="L10" s="28">
        <f t="shared" ref="L10" si="1">AVERAGE(I9:I14)</f>
        <v>2134.2726000000002</v>
      </c>
      <c r="M10" s="34" t="s">
        <v>161</v>
      </c>
      <c r="N10" s="25">
        <v>3588.9176666666663</v>
      </c>
      <c r="O10" s="25">
        <v>1983.9849999999999</v>
      </c>
      <c r="P10" s="25">
        <v>7.9443333333333328</v>
      </c>
      <c r="Q10" s="25">
        <v>5.2690000000000001</v>
      </c>
      <c r="S10" s="34" t="s">
        <v>176</v>
      </c>
      <c r="T10" s="29">
        <v>3929.9198333333334</v>
      </c>
      <c r="U10" s="29">
        <v>2074.5281999999997</v>
      </c>
      <c r="V10" s="29">
        <v>9.1888333333333332</v>
      </c>
      <c r="W10" s="29">
        <v>5.7331666666666665</v>
      </c>
    </row>
    <row r="11" spans="1:23" x14ac:dyDescent="0.35">
      <c r="A11" s="13" t="s">
        <v>10</v>
      </c>
      <c r="B11" s="13">
        <v>3357.011</v>
      </c>
      <c r="C11" s="13">
        <v>1937.1279999999999</v>
      </c>
      <c r="D11" s="13">
        <v>8.1020000000000003</v>
      </c>
      <c r="E11" s="13">
        <v>4.6829999999999998</v>
      </c>
      <c r="F11" s="24">
        <f>AVERAGE(D9:D14)</f>
        <v>10.174666666666667</v>
      </c>
      <c r="G11" s="22" t="s">
        <v>82</v>
      </c>
      <c r="H11" s="13">
        <v>9571.0400000000009</v>
      </c>
      <c r="I11" s="13">
        <v>1502.877</v>
      </c>
      <c r="J11" s="13">
        <v>18.344999999999999</v>
      </c>
      <c r="K11" s="31">
        <v>13.691000000000001</v>
      </c>
      <c r="L11" s="28">
        <f t="shared" ref="L11" si="2">AVERAGE(J9:J14)</f>
        <v>6.1305000000000005</v>
      </c>
      <c r="M11" s="34" t="s">
        <v>162</v>
      </c>
      <c r="N11" s="25">
        <v>2379.2313333333336</v>
      </c>
      <c r="O11" s="25">
        <v>2128.3664000000003</v>
      </c>
      <c r="P11" s="25">
        <v>5.7323333333333331</v>
      </c>
      <c r="Q11" s="25">
        <v>3.8155000000000001</v>
      </c>
      <c r="S11" s="34" t="s">
        <v>177</v>
      </c>
      <c r="T11" s="29">
        <v>1973.9233333333332</v>
      </c>
      <c r="U11" s="29">
        <v>2168.2388000000001</v>
      </c>
      <c r="V11" s="29">
        <v>4.6379999999999999</v>
      </c>
      <c r="W11" s="29">
        <v>3.9158333333333335</v>
      </c>
    </row>
    <row r="12" spans="1:23" x14ac:dyDescent="0.35">
      <c r="A12" s="13" t="s">
        <v>11</v>
      </c>
      <c r="B12" s="13">
        <v>13520.546</v>
      </c>
      <c r="C12" s="13">
        <v>1392.2639999999999</v>
      </c>
      <c r="D12" s="13">
        <v>28.805</v>
      </c>
      <c r="E12" s="13">
        <v>16.959</v>
      </c>
      <c r="F12" s="24">
        <f>AVERAGE(E9:E14)</f>
        <v>7.1318333333333328</v>
      </c>
      <c r="G12" s="22" t="s">
        <v>83</v>
      </c>
      <c r="H12" s="13">
        <v>3652.11</v>
      </c>
      <c r="I12" s="13">
        <v>1894.444</v>
      </c>
      <c r="J12" s="13">
        <v>8.3659999999999997</v>
      </c>
      <c r="K12" s="31">
        <v>3.8039999999999998</v>
      </c>
      <c r="L12" s="28">
        <f t="shared" ref="L12" si="3">AVERAGE(K9:K14)</f>
        <v>4.0744999999999996</v>
      </c>
      <c r="M12" s="34" t="s">
        <v>163</v>
      </c>
      <c r="N12" s="25">
        <v>1485.104</v>
      </c>
      <c r="O12" s="25">
        <v>2218.2148000000002</v>
      </c>
      <c r="P12" s="25">
        <v>4.1315</v>
      </c>
      <c r="Q12" s="25">
        <v>3.5611666666666668</v>
      </c>
      <c r="S12" s="34" t="s">
        <v>178</v>
      </c>
      <c r="T12" s="29">
        <v>4712.4158333333335</v>
      </c>
      <c r="U12" s="29">
        <v>1986.8576</v>
      </c>
      <c r="V12" s="29">
        <v>9.2361666666666675</v>
      </c>
      <c r="W12" s="29">
        <v>7.3881666666666668</v>
      </c>
    </row>
    <row r="13" spans="1:23" x14ac:dyDescent="0.35">
      <c r="A13" s="13" t="s">
        <v>12</v>
      </c>
      <c r="B13" s="13">
        <v>6483.2839999999997</v>
      </c>
      <c r="C13" s="13">
        <v>1672.87</v>
      </c>
      <c r="D13" s="13">
        <v>14.244</v>
      </c>
      <c r="E13" s="13">
        <v>10.638</v>
      </c>
      <c r="G13" s="22" t="s">
        <v>84</v>
      </c>
      <c r="H13" s="13">
        <v>2380.7800000000002</v>
      </c>
      <c r="I13" s="13">
        <v>2074.52</v>
      </c>
      <c r="J13" s="13">
        <v>6.0270000000000001</v>
      </c>
      <c r="K13" s="31">
        <v>3.581</v>
      </c>
      <c r="L13" s="28">
        <v>0</v>
      </c>
      <c r="M13" s="34" t="s">
        <v>164</v>
      </c>
      <c r="N13" s="25">
        <v>3026.2488333333336</v>
      </c>
      <c r="O13" s="25">
        <v>2141.0755999999997</v>
      </c>
      <c r="P13" s="25">
        <v>6.8765000000000001</v>
      </c>
      <c r="Q13" s="25">
        <v>3.8121666666666663</v>
      </c>
      <c r="S13" s="34" t="s">
        <v>179</v>
      </c>
      <c r="T13" s="29">
        <v>2119.2635</v>
      </c>
      <c r="U13" s="29">
        <v>2434.7453333333333</v>
      </c>
      <c r="V13" s="29">
        <v>5.1663333333333332</v>
      </c>
      <c r="W13" s="29">
        <v>3.3359999999999999</v>
      </c>
    </row>
    <row r="14" spans="1:23" x14ac:dyDescent="0.35">
      <c r="A14" s="13" t="s">
        <v>13</v>
      </c>
      <c r="B14" s="13">
        <v>2071.4059999999999</v>
      </c>
      <c r="C14" s="13">
        <v>2132.1550000000002</v>
      </c>
      <c r="D14" s="13">
        <v>5.0570000000000004</v>
      </c>
      <c r="E14" s="13">
        <v>1.9710000000000001</v>
      </c>
      <c r="G14" s="22" t="s">
        <v>85</v>
      </c>
      <c r="H14" s="13">
        <v>1422.53</v>
      </c>
      <c r="I14" s="13">
        <v>2288.4920000000002</v>
      </c>
      <c r="J14" s="13">
        <v>3.5539999999999998</v>
      </c>
      <c r="K14" s="31">
        <v>2.1459999999999999</v>
      </c>
      <c r="L14" s="28">
        <v>0</v>
      </c>
      <c r="M14" s="34" t="s">
        <v>165</v>
      </c>
      <c r="N14" s="25">
        <v>4880.1324999999997</v>
      </c>
      <c r="O14" s="25">
        <v>1857.9833999999998</v>
      </c>
      <c r="P14" s="25">
        <v>11.391500000000001</v>
      </c>
      <c r="Q14" s="25">
        <v>7.2283333333333344</v>
      </c>
      <c r="S14" s="34" t="s">
        <v>180</v>
      </c>
      <c r="T14" s="29">
        <v>1934.4783333333335</v>
      </c>
      <c r="U14" s="29">
        <v>2146.3375999999998</v>
      </c>
      <c r="V14" s="29">
        <v>4.9198333333333331</v>
      </c>
      <c r="W14" s="29">
        <v>3.2535000000000003</v>
      </c>
    </row>
    <row r="15" spans="1:23" x14ac:dyDescent="0.35">
      <c r="A15" s="13" t="s">
        <v>14</v>
      </c>
      <c r="B15" s="13">
        <v>0</v>
      </c>
      <c r="C15" s="13"/>
      <c r="D15" s="13">
        <v>7.8E-2</v>
      </c>
      <c r="E15" s="13">
        <v>0.28799999999999998</v>
      </c>
      <c r="F15" s="24">
        <f>AVERAGE(B15:B20)</f>
        <v>5951.1793333333335</v>
      </c>
      <c r="G15" s="22" t="s">
        <v>86</v>
      </c>
      <c r="H15" s="13">
        <v>30.748000000000001</v>
      </c>
      <c r="I15" s="13">
        <v>3079.808</v>
      </c>
      <c r="J15" s="13">
        <v>0.13500000000000001</v>
      </c>
      <c r="K15" s="31">
        <v>0.35499999999999998</v>
      </c>
      <c r="L15" s="28">
        <f t="shared" ref="L15" si="4">AVERAGE(H15:H20)</f>
        <v>2591.2926666666667</v>
      </c>
      <c r="M15" s="27" t="s">
        <v>152</v>
      </c>
      <c r="N15" s="35">
        <f>SUM(N3:N14)</f>
        <v>46198.777666666661</v>
      </c>
      <c r="O15" s="35">
        <f t="shared" ref="O15:Q15" si="5">SUM(O3:O14)</f>
        <v>24253.560300000005</v>
      </c>
      <c r="P15" s="35">
        <f t="shared" si="5"/>
        <v>108.00900000000001</v>
      </c>
      <c r="Q15" s="35">
        <f t="shared" si="5"/>
        <v>71.383166666666682</v>
      </c>
      <c r="R15" s="6"/>
      <c r="S15" s="27" t="s">
        <v>152</v>
      </c>
      <c r="T15" s="35">
        <f>SUM(T3:T14)</f>
        <v>36002.455166666659</v>
      </c>
      <c r="U15" s="35">
        <f t="shared" ref="U15" si="6">SUM(U3:U14)</f>
        <v>25902.249599999996</v>
      </c>
      <c r="V15" s="35">
        <f t="shared" ref="V15" si="7">SUM(V3:V14)</f>
        <v>83.286666666666662</v>
      </c>
      <c r="W15" s="35">
        <f t="shared" ref="W15" si="8">SUM(W3:W14)</f>
        <v>56.097000000000008</v>
      </c>
    </row>
    <row r="16" spans="1:23" x14ac:dyDescent="0.35">
      <c r="A16" s="13" t="s">
        <v>15</v>
      </c>
      <c r="B16" s="13">
        <v>255.899</v>
      </c>
      <c r="C16" s="13">
        <v>2764.4859999999999</v>
      </c>
      <c r="D16" s="13">
        <v>0.68799999999999994</v>
      </c>
      <c r="E16" s="13">
        <v>1.204</v>
      </c>
      <c r="F16" s="24">
        <f>AVERAGE(C15:C20)</f>
        <v>1817.9322</v>
      </c>
      <c r="G16" s="22" t="s">
        <v>87</v>
      </c>
      <c r="H16" s="13">
        <v>999.85799999999995</v>
      </c>
      <c r="I16" s="13">
        <v>2410.3130000000001</v>
      </c>
      <c r="J16" s="13">
        <v>3.4220000000000002</v>
      </c>
      <c r="K16" s="31">
        <v>4.7060000000000004</v>
      </c>
      <c r="L16" s="28">
        <f t="shared" ref="L16" si="9">AVERAGE(I15:I20)</f>
        <v>2237.4821666666667</v>
      </c>
      <c r="M16" s="27" t="s">
        <v>167</v>
      </c>
      <c r="N16" s="35">
        <f>AVERAGE(N3:N14)</f>
        <v>3849.8981388888883</v>
      </c>
      <c r="O16" s="35">
        <f t="shared" ref="O16:Q16" si="10">AVERAGE(O3:O14)</f>
        <v>2021.1300250000004</v>
      </c>
      <c r="P16" s="35">
        <f t="shared" si="10"/>
        <v>9.0007500000000018</v>
      </c>
      <c r="Q16" s="35">
        <f t="shared" si="10"/>
        <v>5.9485972222222232</v>
      </c>
      <c r="R16" s="6"/>
      <c r="S16" s="27" t="s">
        <v>167</v>
      </c>
      <c r="T16" s="35">
        <f>AVERAGE(T3:T14)</f>
        <v>3000.2045972222218</v>
      </c>
      <c r="U16" s="35">
        <f>AVERAGE(U3:U14)</f>
        <v>2158.5207999999998</v>
      </c>
      <c r="V16" s="35">
        <f t="shared" ref="V16:W16" si="11">AVERAGE(V3:V14)</f>
        <v>6.9405555555555551</v>
      </c>
      <c r="W16" s="35">
        <f t="shared" si="11"/>
        <v>4.6747500000000004</v>
      </c>
    </row>
    <row r="17" spans="1:17" x14ac:dyDescent="0.35">
      <c r="A17" s="13" t="s">
        <v>16</v>
      </c>
      <c r="B17" s="13">
        <v>12274.308000000001</v>
      </c>
      <c r="C17" s="13">
        <v>1415.2449999999999</v>
      </c>
      <c r="D17" s="13">
        <v>21.960999999999999</v>
      </c>
      <c r="E17" s="13">
        <v>20.064</v>
      </c>
      <c r="F17" s="24">
        <f>AVERAGE(D15:D20)</f>
        <v>12.997833333333332</v>
      </c>
      <c r="G17" s="22" t="s">
        <v>88</v>
      </c>
      <c r="H17" s="13">
        <v>2027.74</v>
      </c>
      <c r="I17" s="13">
        <v>2152.7800000000002</v>
      </c>
      <c r="J17" s="13">
        <v>5.1849999999999996</v>
      </c>
      <c r="K17" s="31">
        <v>3.47</v>
      </c>
      <c r="L17" s="28">
        <f t="shared" ref="L17" si="12">AVERAGE(J15:J20)</f>
        <v>6.5858333333333334</v>
      </c>
      <c r="M17" s="22"/>
      <c r="N17" s="16"/>
      <c r="O17" s="16"/>
      <c r="P17" s="16"/>
      <c r="Q17" s="16"/>
    </row>
    <row r="18" spans="1:17" x14ac:dyDescent="0.35">
      <c r="A18" s="13" t="s">
        <v>17</v>
      </c>
      <c r="B18" s="13">
        <v>7468.3389999999999</v>
      </c>
      <c r="C18" s="13">
        <v>1640.942</v>
      </c>
      <c r="D18" s="13">
        <v>17.864000000000001</v>
      </c>
      <c r="E18" s="13">
        <v>7.8719999999999999</v>
      </c>
      <c r="F18" s="24">
        <f>AVERAGE(E15:E20)</f>
        <v>7.7138333333333335</v>
      </c>
      <c r="G18" s="22" t="s">
        <v>89</v>
      </c>
      <c r="H18" s="13">
        <v>7169.01</v>
      </c>
      <c r="I18" s="13">
        <v>1661.441</v>
      </c>
      <c r="J18" s="13">
        <v>17.091000000000001</v>
      </c>
      <c r="K18" s="31">
        <v>13.67</v>
      </c>
      <c r="L18" s="28">
        <f t="shared" ref="L18" si="13">AVERAGE(K15:K20)</f>
        <v>5.3521666666666663</v>
      </c>
      <c r="M18" s="22"/>
      <c r="N18" s="16"/>
      <c r="O18" s="16"/>
      <c r="P18" s="16"/>
      <c r="Q18" s="16"/>
    </row>
    <row r="19" spans="1:17" x14ac:dyDescent="0.35">
      <c r="A19" s="13" t="s">
        <v>18</v>
      </c>
      <c r="B19" s="13">
        <v>9727.9930000000004</v>
      </c>
      <c r="C19" s="13">
        <v>1525.683</v>
      </c>
      <c r="D19" s="13">
        <v>21.724</v>
      </c>
      <c r="E19" s="13">
        <v>9.7110000000000003</v>
      </c>
      <c r="G19" s="22" t="s">
        <v>90</v>
      </c>
      <c r="H19" s="13">
        <v>3423.15</v>
      </c>
      <c r="I19" s="13">
        <v>1943.633</v>
      </c>
      <c r="J19" s="13">
        <v>9.1020000000000003</v>
      </c>
      <c r="K19" s="31">
        <v>7.5720000000000001</v>
      </c>
      <c r="L19" s="28">
        <v>0</v>
      </c>
    </row>
    <row r="20" spans="1:17" x14ac:dyDescent="0.35">
      <c r="A20" s="13" t="s">
        <v>19</v>
      </c>
      <c r="B20" s="13">
        <v>5980.5370000000003</v>
      </c>
      <c r="C20" s="13">
        <v>1743.3050000000001</v>
      </c>
      <c r="D20" s="13">
        <v>15.672000000000001</v>
      </c>
      <c r="E20" s="13">
        <v>7.1440000000000001</v>
      </c>
      <c r="G20" s="22" t="s">
        <v>91</v>
      </c>
      <c r="H20" s="13">
        <v>1897.25</v>
      </c>
      <c r="I20" s="13">
        <v>2176.9180000000001</v>
      </c>
      <c r="J20" s="13">
        <v>4.58</v>
      </c>
      <c r="K20" s="31">
        <v>2.34</v>
      </c>
      <c r="L20" s="28">
        <v>0</v>
      </c>
    </row>
    <row r="21" spans="1:17" x14ac:dyDescent="0.35">
      <c r="A21" s="13" t="s">
        <v>20</v>
      </c>
      <c r="B21" s="13">
        <v>0</v>
      </c>
      <c r="C21" s="13"/>
      <c r="D21" s="13">
        <v>7.5999999999999998E-2</v>
      </c>
      <c r="E21" s="13">
        <v>0.33400000000000002</v>
      </c>
      <c r="F21" s="24">
        <f>AVERAGE(B21:B26)</f>
        <v>3292.7191666666663</v>
      </c>
      <c r="G21" s="22" t="s">
        <v>92</v>
      </c>
      <c r="H21" s="13">
        <v>0</v>
      </c>
      <c r="I21" s="13"/>
      <c r="J21" s="13">
        <v>9.5000000000000001E-2</v>
      </c>
      <c r="K21" s="31">
        <v>0.373</v>
      </c>
      <c r="L21" s="28">
        <f t="shared" ref="L21" si="14">AVERAGE(H21:H26)</f>
        <v>3178.8296666666665</v>
      </c>
    </row>
    <row r="22" spans="1:17" x14ac:dyDescent="0.35">
      <c r="A22" s="13" t="s">
        <v>21</v>
      </c>
      <c r="B22" s="13">
        <v>262.64499999999998</v>
      </c>
      <c r="C22" s="13">
        <v>2800.23</v>
      </c>
      <c r="D22" s="13">
        <v>0.81899999999999995</v>
      </c>
      <c r="E22" s="13">
        <v>1.252</v>
      </c>
      <c r="F22" s="24">
        <f>AVERAGE(C21:C26)</f>
        <v>2062.9415999999997</v>
      </c>
      <c r="G22" s="22" t="s">
        <v>93</v>
      </c>
      <c r="H22" s="13">
        <v>734.40800000000002</v>
      </c>
      <c r="I22" s="13">
        <v>2525.2710000000002</v>
      </c>
      <c r="J22" s="13">
        <v>1.7589999999999999</v>
      </c>
      <c r="K22" s="31">
        <v>1.7090000000000001</v>
      </c>
      <c r="L22" s="28">
        <f t="shared" ref="L22" si="15">AVERAGE(I21:I26)</f>
        <v>2015.7164</v>
      </c>
    </row>
    <row r="23" spans="1:17" x14ac:dyDescent="0.35">
      <c r="A23" s="13" t="s">
        <v>22</v>
      </c>
      <c r="B23" s="13">
        <v>2306.0949999999998</v>
      </c>
      <c r="C23" s="13">
        <v>2043.3630000000001</v>
      </c>
      <c r="D23" s="13">
        <v>5.5830000000000002</v>
      </c>
      <c r="E23" s="13">
        <v>5.6420000000000003</v>
      </c>
      <c r="F23" s="24">
        <f>AVERAGE(D21:D26)</f>
        <v>7.9683333333333337</v>
      </c>
      <c r="G23" s="22" t="s">
        <v>94</v>
      </c>
      <c r="H23" s="13">
        <v>2980.61</v>
      </c>
      <c r="I23" s="13">
        <v>1974.672</v>
      </c>
      <c r="J23" s="13">
        <v>7.8360000000000003</v>
      </c>
      <c r="K23" s="31">
        <v>7.7560000000000002</v>
      </c>
      <c r="L23" s="28">
        <f t="shared" ref="L23" si="16">AVERAGE(J21:J26)</f>
        <v>7.9556666666666658</v>
      </c>
    </row>
    <row r="24" spans="1:17" x14ac:dyDescent="0.35">
      <c r="A24" s="13" t="s">
        <v>23</v>
      </c>
      <c r="B24" s="13">
        <v>5990.4189999999999</v>
      </c>
      <c r="C24" s="13">
        <v>1755.684</v>
      </c>
      <c r="D24" s="13">
        <v>15.228</v>
      </c>
      <c r="E24" s="13">
        <v>5.8339999999999996</v>
      </c>
      <c r="F24" s="24">
        <f>AVERAGE(E21:E26)</f>
        <v>4.9576666666666673</v>
      </c>
      <c r="G24" s="22" t="s">
        <v>95</v>
      </c>
      <c r="H24" s="13">
        <v>8867.5300000000007</v>
      </c>
      <c r="I24" s="13">
        <v>1569.2639999999999</v>
      </c>
      <c r="J24" s="13">
        <v>22.222999999999999</v>
      </c>
      <c r="K24" s="31">
        <v>9.7080000000000002</v>
      </c>
      <c r="L24" s="28">
        <f t="shared" ref="L24" si="17">AVERAGE(K21:K26)</f>
        <v>4.3723333333333336</v>
      </c>
    </row>
    <row r="25" spans="1:17" x14ac:dyDescent="0.35">
      <c r="A25" s="13" t="s">
        <v>24</v>
      </c>
      <c r="B25" s="13">
        <v>9445.6440000000002</v>
      </c>
      <c r="C25" s="13">
        <v>1524.164</v>
      </c>
      <c r="D25" s="13">
        <v>21.983000000000001</v>
      </c>
      <c r="E25" s="13">
        <v>14.912000000000001</v>
      </c>
      <c r="G25" s="22" t="s">
        <v>96</v>
      </c>
      <c r="H25" s="13">
        <v>4673.49</v>
      </c>
      <c r="I25" s="13">
        <v>1825.241</v>
      </c>
      <c r="J25" s="13">
        <v>11.407999999999999</v>
      </c>
      <c r="K25" s="31">
        <v>4.49</v>
      </c>
      <c r="L25" s="28">
        <v>0</v>
      </c>
    </row>
    <row r="26" spans="1:17" x14ac:dyDescent="0.35">
      <c r="A26" s="13" t="s">
        <v>25</v>
      </c>
      <c r="B26" s="13">
        <v>1751.5119999999999</v>
      </c>
      <c r="C26" s="13">
        <v>2191.2669999999998</v>
      </c>
      <c r="D26" s="13">
        <v>4.1210000000000004</v>
      </c>
      <c r="E26" s="13">
        <v>1.772</v>
      </c>
      <c r="G26" s="22" t="s">
        <v>97</v>
      </c>
      <c r="H26" s="13">
        <v>1816.94</v>
      </c>
      <c r="I26" s="13">
        <v>2184.134</v>
      </c>
      <c r="J26" s="13">
        <v>4.4130000000000003</v>
      </c>
      <c r="K26" s="31">
        <v>2.198</v>
      </c>
      <c r="L26" s="28">
        <v>0</v>
      </c>
    </row>
    <row r="27" spans="1:17" x14ac:dyDescent="0.35">
      <c r="A27" s="13" t="s">
        <v>26</v>
      </c>
      <c r="B27" s="13">
        <v>0</v>
      </c>
      <c r="C27" s="13"/>
      <c r="D27" s="13">
        <v>1.9E-2</v>
      </c>
      <c r="E27" s="13">
        <v>8.7999999999999995E-2</v>
      </c>
      <c r="F27" s="24">
        <f>AVERAGE(B27:B32)</f>
        <v>5722.6808333333329</v>
      </c>
      <c r="G27" s="22" t="s">
        <v>98</v>
      </c>
      <c r="H27" s="13">
        <v>0</v>
      </c>
      <c r="I27" s="13"/>
      <c r="J27" s="13">
        <v>4.4999999999999998E-2</v>
      </c>
      <c r="K27" s="31">
        <v>0.217</v>
      </c>
      <c r="L27" s="28">
        <f t="shared" ref="L27:L63" si="18">AVERAGE(H27:H32)</f>
        <v>3464.1928333333331</v>
      </c>
    </row>
    <row r="28" spans="1:17" x14ac:dyDescent="0.35">
      <c r="A28" s="13" t="s">
        <v>27</v>
      </c>
      <c r="B28" s="13">
        <v>2368.451</v>
      </c>
      <c r="C28" s="13">
        <v>2016.8869999999999</v>
      </c>
      <c r="D28" s="13">
        <v>5.3460000000000001</v>
      </c>
      <c r="E28" s="13">
        <v>8.2379999999999995</v>
      </c>
      <c r="F28" s="24">
        <f>AVERAGE(C27:C32)</f>
        <v>1768.9559999999997</v>
      </c>
      <c r="G28" s="22" t="s">
        <v>99</v>
      </c>
      <c r="H28" s="13">
        <v>125.827</v>
      </c>
      <c r="I28" s="8">
        <v>2865.2919999999999</v>
      </c>
      <c r="J28" s="13">
        <v>0.31</v>
      </c>
      <c r="K28" s="31">
        <v>0.42499999999999999</v>
      </c>
      <c r="L28" s="28">
        <f>AVERAGE(I27:I32)</f>
        <v>2022.9788000000001</v>
      </c>
    </row>
    <row r="29" spans="1:17" x14ac:dyDescent="0.35">
      <c r="A29" s="13" t="s">
        <v>28</v>
      </c>
      <c r="B29" s="13">
        <v>4190.51</v>
      </c>
      <c r="C29" s="13">
        <v>1863.5170000000001</v>
      </c>
      <c r="D29" s="13">
        <v>9.8059999999999992</v>
      </c>
      <c r="E29" s="13">
        <v>6.69</v>
      </c>
      <c r="F29" s="24">
        <f>AVERAGE(D27:D32)</f>
        <v>12.591833333333334</v>
      </c>
      <c r="G29" s="22" t="s">
        <v>100</v>
      </c>
      <c r="H29" s="13">
        <v>5411.15</v>
      </c>
      <c r="I29" s="8">
        <v>1745.203</v>
      </c>
      <c r="J29" s="13">
        <v>11.438000000000001</v>
      </c>
      <c r="K29" s="31">
        <v>12.036</v>
      </c>
      <c r="L29" s="28">
        <f t="shared" ref="L29:L65" si="19">AVERAGE(J27:J32)</f>
        <v>8.1105</v>
      </c>
      <c r="O29" s="7">
        <f>AVERAGE(I27:I32)</f>
        <v>2022.9788000000001</v>
      </c>
    </row>
    <row r="30" spans="1:17" x14ac:dyDescent="0.35">
      <c r="A30" s="13" t="s">
        <v>29</v>
      </c>
      <c r="B30" s="13">
        <v>9710.7240000000002</v>
      </c>
      <c r="C30" s="13">
        <v>1542.7539999999999</v>
      </c>
      <c r="D30" s="13">
        <v>20.492999999999999</v>
      </c>
      <c r="E30" s="13">
        <v>18.036000000000001</v>
      </c>
      <c r="F30" s="24">
        <f>AVERAGE(E27:E32)</f>
        <v>8.910166666666667</v>
      </c>
      <c r="G30" s="22" t="s">
        <v>101</v>
      </c>
      <c r="H30" s="13">
        <v>3788.98</v>
      </c>
      <c r="I30" s="8">
        <v>1871.3109999999999</v>
      </c>
      <c r="J30" s="13">
        <v>10.069000000000001</v>
      </c>
      <c r="K30" s="31">
        <v>7.4450000000000003</v>
      </c>
      <c r="L30" s="28">
        <f t="shared" ref="L30:L66" si="20">AVERAGE(K27:K32)</f>
        <v>5.7029999999999994</v>
      </c>
    </row>
    <row r="31" spans="1:17" x14ac:dyDescent="0.35">
      <c r="A31" s="13" t="s">
        <v>30</v>
      </c>
      <c r="B31" s="13">
        <v>15640.946</v>
      </c>
      <c r="C31" s="13">
        <v>1339.424</v>
      </c>
      <c r="D31" s="13">
        <v>33.883000000000003</v>
      </c>
      <c r="E31" s="13">
        <v>17.838999999999999</v>
      </c>
      <c r="G31" s="22" t="s">
        <v>102</v>
      </c>
      <c r="H31" s="13">
        <v>8899.5499999999993</v>
      </c>
      <c r="I31" s="8">
        <v>1587.59</v>
      </c>
      <c r="J31" s="13">
        <v>20.545000000000002</v>
      </c>
      <c r="K31" s="31">
        <v>11.04</v>
      </c>
      <c r="L31" s="28">
        <v>0</v>
      </c>
    </row>
    <row r="32" spans="1:17" x14ac:dyDescent="0.35">
      <c r="A32" s="13" t="s">
        <v>31</v>
      </c>
      <c r="B32" s="13">
        <v>2425.4540000000002</v>
      </c>
      <c r="C32" s="13">
        <v>2082.1979999999999</v>
      </c>
      <c r="D32" s="13">
        <v>6.0039999999999996</v>
      </c>
      <c r="E32" s="13">
        <v>2.57</v>
      </c>
      <c r="G32" s="22" t="s">
        <v>103</v>
      </c>
      <c r="H32" s="13">
        <v>2559.65</v>
      </c>
      <c r="I32" s="8">
        <v>2045.498</v>
      </c>
      <c r="J32" s="13">
        <v>6.2560000000000002</v>
      </c>
      <c r="K32" s="31">
        <v>3.0550000000000002</v>
      </c>
      <c r="L32" s="28">
        <v>0</v>
      </c>
    </row>
    <row r="33" spans="1:17" x14ac:dyDescent="0.35">
      <c r="A33" s="13" t="s">
        <v>32</v>
      </c>
      <c r="B33" s="13">
        <v>6.577</v>
      </c>
      <c r="C33" s="13">
        <v>2990.8339999999998</v>
      </c>
      <c r="D33" s="13">
        <v>7.3999999999999996E-2</v>
      </c>
      <c r="E33" s="13">
        <v>0.25800000000000001</v>
      </c>
      <c r="F33" s="24">
        <f>AVERAGE(B33:B38)</f>
        <v>3728.7469999999998</v>
      </c>
      <c r="G33" s="22" t="s">
        <v>104</v>
      </c>
      <c r="H33" s="13">
        <v>0</v>
      </c>
      <c r="I33" s="13"/>
      <c r="J33" s="13">
        <v>1.2999999999999999E-2</v>
      </c>
      <c r="K33" s="31">
        <v>6.6000000000000003E-2</v>
      </c>
      <c r="L33" s="28">
        <f t="shared" ref="L33:L69" si="21">AVERAGE(H33:H38)</f>
        <v>1484.448166666667</v>
      </c>
    </row>
    <row r="34" spans="1:17" x14ac:dyDescent="0.35">
      <c r="A34" s="13" t="s">
        <v>33</v>
      </c>
      <c r="B34" s="13">
        <v>499.60399999999998</v>
      </c>
      <c r="C34" s="13">
        <v>2616.7020000000002</v>
      </c>
      <c r="D34" s="13">
        <v>1.163</v>
      </c>
      <c r="E34" s="13">
        <v>1.64</v>
      </c>
      <c r="F34" s="24">
        <f>AVERAGE(C33:C38)</f>
        <v>2171.8229999999999</v>
      </c>
      <c r="G34" s="22" t="s">
        <v>105</v>
      </c>
      <c r="H34" s="13">
        <v>344.67899999999997</v>
      </c>
      <c r="I34" s="13">
        <v>2584.3580000000002</v>
      </c>
      <c r="J34" s="13">
        <v>1.226</v>
      </c>
      <c r="K34" s="31">
        <v>2.3839999999999999</v>
      </c>
      <c r="L34" s="28">
        <f t="shared" ref="L34:L70" si="22">AVERAGE(I33:I38)</f>
        <v>2246.3776000000003</v>
      </c>
    </row>
    <row r="35" spans="1:17" x14ac:dyDescent="0.35">
      <c r="A35" s="13" t="s">
        <v>34</v>
      </c>
      <c r="B35" s="13">
        <v>1018.571</v>
      </c>
      <c r="C35" s="13">
        <v>2291.127</v>
      </c>
      <c r="D35" s="13">
        <v>5.181</v>
      </c>
      <c r="E35" s="13">
        <v>9.9380000000000006</v>
      </c>
      <c r="F35" s="24">
        <f>AVERAGE(D33:D38)</f>
        <v>9.4113333333333333</v>
      </c>
      <c r="G35" s="22" t="s">
        <v>106</v>
      </c>
      <c r="H35" s="13">
        <v>2075.42</v>
      </c>
      <c r="I35" s="13">
        <v>2100.7150000000001</v>
      </c>
      <c r="J35" s="13">
        <v>4.9800000000000004</v>
      </c>
      <c r="K35" s="31">
        <v>5.2969999999999997</v>
      </c>
      <c r="L35" s="28">
        <f t="shared" ref="L35:L71" si="23">AVERAGE(J33:J38)</f>
        <v>3.6196666666666668</v>
      </c>
      <c r="M35" s="22"/>
      <c r="N35" s="16"/>
      <c r="O35" s="16"/>
      <c r="P35" s="16"/>
      <c r="Q35" s="16"/>
    </row>
    <row r="36" spans="1:17" x14ac:dyDescent="0.35">
      <c r="A36" s="13" t="s">
        <v>35</v>
      </c>
      <c r="B36" s="13">
        <v>10319.092000000001</v>
      </c>
      <c r="C36" s="13">
        <v>1517.3630000000001</v>
      </c>
      <c r="D36" s="13">
        <v>23.503</v>
      </c>
      <c r="E36" s="13">
        <v>12.932</v>
      </c>
      <c r="F36" s="24">
        <f>AVERAGE(E33:E38)</f>
        <v>5.9115000000000002</v>
      </c>
      <c r="G36" s="22" t="s">
        <v>107</v>
      </c>
      <c r="H36" s="13">
        <v>3251.94</v>
      </c>
      <c r="I36" s="13">
        <v>1987.018</v>
      </c>
      <c r="J36" s="13">
        <v>7.6950000000000003</v>
      </c>
      <c r="K36" s="31">
        <v>5.141</v>
      </c>
      <c r="L36" s="28">
        <f t="shared" ref="L36:L72" si="24">AVERAGE(K33:K38)</f>
        <v>2.7318333333333338</v>
      </c>
      <c r="M36" s="22"/>
      <c r="N36" s="16"/>
      <c r="O36" s="16"/>
      <c r="P36" s="16"/>
      <c r="Q36" s="16"/>
    </row>
    <row r="37" spans="1:17" x14ac:dyDescent="0.35">
      <c r="A37" s="13" t="s">
        <v>36</v>
      </c>
      <c r="B37" s="13">
        <v>7655.4040000000005</v>
      </c>
      <c r="C37" s="13">
        <v>1633.5730000000001</v>
      </c>
      <c r="D37" s="13">
        <v>19.568000000000001</v>
      </c>
      <c r="E37" s="13">
        <v>7.71</v>
      </c>
      <c r="G37" s="22" t="s">
        <v>108</v>
      </c>
      <c r="H37" s="13">
        <v>2357.5300000000002</v>
      </c>
      <c r="I37" s="13">
        <v>2090.9119999999998</v>
      </c>
      <c r="J37" s="13">
        <v>5.6219999999999999</v>
      </c>
      <c r="K37" s="31">
        <v>2.258</v>
      </c>
      <c r="L37" s="28">
        <v>0</v>
      </c>
      <c r="M37" s="22"/>
      <c r="N37" s="16"/>
      <c r="O37" s="16"/>
      <c r="P37" s="16"/>
      <c r="Q37" s="16"/>
    </row>
    <row r="38" spans="1:17" x14ac:dyDescent="0.35">
      <c r="A38" s="13" t="s">
        <v>37</v>
      </c>
      <c r="B38" s="13">
        <v>2873.2339999999999</v>
      </c>
      <c r="C38" s="13">
        <v>1981.3389999999999</v>
      </c>
      <c r="D38" s="13">
        <v>6.9790000000000001</v>
      </c>
      <c r="E38" s="13">
        <v>2.9910000000000001</v>
      </c>
      <c r="G38" s="22" t="s">
        <v>109</v>
      </c>
      <c r="H38" s="13">
        <v>877.12</v>
      </c>
      <c r="I38" s="13">
        <v>2468.8850000000002</v>
      </c>
      <c r="J38" s="13">
        <v>2.1819999999999999</v>
      </c>
      <c r="K38" s="31">
        <v>1.2450000000000001</v>
      </c>
      <c r="L38" s="28">
        <v>0</v>
      </c>
      <c r="M38" s="22"/>
      <c r="N38" s="16"/>
      <c r="O38" s="16"/>
      <c r="P38" s="16"/>
      <c r="Q38" s="16"/>
    </row>
    <row r="39" spans="1:17" x14ac:dyDescent="0.35">
      <c r="A39" s="13" t="s">
        <v>38</v>
      </c>
      <c r="B39" s="13">
        <v>0.623</v>
      </c>
      <c r="C39" s="13">
        <v>2479.7359999999999</v>
      </c>
      <c r="D39" s="13">
        <v>0.19700000000000001</v>
      </c>
      <c r="E39" s="13">
        <v>0.73499999999999999</v>
      </c>
      <c r="F39" s="24">
        <f>AVERAGE(B39:B44)</f>
        <v>4501.657666666667</v>
      </c>
      <c r="G39" s="22" t="s">
        <v>110</v>
      </c>
      <c r="H39" s="13">
        <v>2.274</v>
      </c>
      <c r="I39" s="13">
        <v>3198.0830000000001</v>
      </c>
      <c r="J39" s="13">
        <v>9.1999999999999998E-2</v>
      </c>
      <c r="K39" s="31">
        <v>0.29199999999999998</v>
      </c>
      <c r="L39" s="28">
        <f t="shared" ref="L39" si="25">AVERAGE(H39:H44)</f>
        <v>3577.9950000000003</v>
      </c>
      <c r="M39" s="22"/>
      <c r="N39" s="16"/>
      <c r="O39" s="16"/>
      <c r="P39" s="16"/>
      <c r="Q39" s="16"/>
    </row>
    <row r="40" spans="1:17" x14ac:dyDescent="0.35">
      <c r="A40" s="13" t="s">
        <v>39</v>
      </c>
      <c r="B40" s="13">
        <v>859.029</v>
      </c>
      <c r="C40" s="13">
        <v>2425.3789999999999</v>
      </c>
      <c r="D40" s="13">
        <v>2.42</v>
      </c>
      <c r="E40" s="13">
        <v>3.6720000000000002</v>
      </c>
      <c r="F40" s="24">
        <f>AVERAGE(C39:C44)</f>
        <v>2025.0388333333333</v>
      </c>
      <c r="G40" s="22" t="s">
        <v>111</v>
      </c>
      <c r="H40" s="13">
        <v>344.01600000000002</v>
      </c>
      <c r="I40" s="13">
        <v>2725.2040000000002</v>
      </c>
      <c r="J40" s="13">
        <v>1.1379999999999999</v>
      </c>
      <c r="K40" s="31">
        <v>1.8580000000000001</v>
      </c>
      <c r="L40" s="28">
        <f t="shared" ref="L40" si="26">AVERAGE(I39:I44)</f>
        <v>2209.2315000000003</v>
      </c>
      <c r="M40" s="22"/>
      <c r="N40" s="16"/>
      <c r="O40" s="16"/>
      <c r="P40" s="16"/>
      <c r="Q40" s="16"/>
    </row>
    <row r="41" spans="1:17" x14ac:dyDescent="0.35">
      <c r="A41" s="13" t="s">
        <v>40</v>
      </c>
      <c r="B41" s="13">
        <v>1018.773</v>
      </c>
      <c r="C41" s="13">
        <v>2313.1660000000002</v>
      </c>
      <c r="D41" s="13">
        <v>6.5419999999999998</v>
      </c>
      <c r="E41" s="13">
        <v>13.718999999999999</v>
      </c>
      <c r="F41" s="24">
        <f>AVERAGE(D39:D44)</f>
        <v>11.574</v>
      </c>
      <c r="G41" s="22" t="s">
        <v>112</v>
      </c>
      <c r="H41" s="13">
        <v>3007.08</v>
      </c>
      <c r="I41" s="13">
        <v>1996.933</v>
      </c>
      <c r="J41" s="13">
        <v>7.7789999999999999</v>
      </c>
      <c r="K41" s="31">
        <v>5.657</v>
      </c>
      <c r="L41" s="28">
        <f t="shared" ref="L41" si="27">AVERAGE(J39:J44)</f>
        <v>8.8486666666666665</v>
      </c>
      <c r="M41" s="22"/>
      <c r="N41" s="16"/>
      <c r="O41" s="16"/>
      <c r="P41" s="16"/>
      <c r="Q41" s="16"/>
    </row>
    <row r="42" spans="1:17" x14ac:dyDescent="0.35">
      <c r="A42" s="13" t="s">
        <v>41</v>
      </c>
      <c r="B42" s="13">
        <v>13222.46</v>
      </c>
      <c r="C42" s="13">
        <v>1394.675</v>
      </c>
      <c r="D42" s="13">
        <v>30.914999999999999</v>
      </c>
      <c r="E42" s="13">
        <v>10.095000000000001</v>
      </c>
      <c r="F42" s="24">
        <f>AVERAGE(E39:E44)</f>
        <v>7.0473333333333317</v>
      </c>
      <c r="G42" s="22" t="s">
        <v>113</v>
      </c>
      <c r="H42" s="13">
        <v>9867.42</v>
      </c>
      <c r="I42" s="13">
        <v>1539.8989999999999</v>
      </c>
      <c r="J42" s="13">
        <v>22.844999999999999</v>
      </c>
      <c r="K42" s="31">
        <v>11.252000000000001</v>
      </c>
      <c r="L42" s="28">
        <f t="shared" ref="L42" si="28">AVERAGE(K39:K44)</f>
        <v>4.3246666666666664</v>
      </c>
    </row>
    <row r="43" spans="1:17" x14ac:dyDescent="0.35">
      <c r="A43" s="13" t="s">
        <v>42</v>
      </c>
      <c r="B43" s="13">
        <v>8703.8289999999997</v>
      </c>
      <c r="C43" s="13">
        <v>1568.5650000000001</v>
      </c>
      <c r="D43" s="13">
        <v>21.363</v>
      </c>
      <c r="E43" s="13">
        <v>9.7149999999999999</v>
      </c>
      <c r="G43" s="22" t="s">
        <v>114</v>
      </c>
      <c r="H43" s="13">
        <v>4164.53</v>
      </c>
      <c r="I43" s="13">
        <v>1887.41</v>
      </c>
      <c r="J43" s="13">
        <v>10.645</v>
      </c>
      <c r="K43" s="31">
        <v>3.6019999999999999</v>
      </c>
      <c r="L43" s="28">
        <v>0</v>
      </c>
    </row>
    <row r="44" spans="1:17" x14ac:dyDescent="0.35">
      <c r="A44" s="13" t="s">
        <v>43</v>
      </c>
      <c r="B44" s="13">
        <v>3205.232</v>
      </c>
      <c r="C44" s="13">
        <v>1968.712</v>
      </c>
      <c r="D44" s="13">
        <v>8.0069999999999997</v>
      </c>
      <c r="E44" s="13">
        <v>4.3479999999999999</v>
      </c>
      <c r="G44" s="22" t="s">
        <v>115</v>
      </c>
      <c r="H44" s="13">
        <v>4082.65</v>
      </c>
      <c r="I44" s="13">
        <v>1907.86</v>
      </c>
      <c r="J44" s="13">
        <v>10.593</v>
      </c>
      <c r="K44" s="31">
        <v>3.2869999999999999</v>
      </c>
      <c r="L44" s="28">
        <v>0</v>
      </c>
    </row>
    <row r="45" spans="1:17" x14ac:dyDescent="0.35">
      <c r="A45" s="13" t="s">
        <v>44</v>
      </c>
      <c r="B45" s="13">
        <v>0</v>
      </c>
      <c r="C45" s="13"/>
      <c r="D45" s="13">
        <v>5.0999999999999997E-2</v>
      </c>
      <c r="E45" s="13">
        <v>0.22700000000000001</v>
      </c>
      <c r="F45" s="24">
        <f>AVERAGE(B45:B50)</f>
        <v>3588.9176666666663</v>
      </c>
      <c r="G45" s="22" t="s">
        <v>116</v>
      </c>
      <c r="H45" s="13">
        <v>0</v>
      </c>
      <c r="I45" s="13"/>
      <c r="J45" s="13">
        <v>4.9000000000000002E-2</v>
      </c>
      <c r="K45" s="31">
        <v>0.21099999999999999</v>
      </c>
      <c r="L45" s="28">
        <f t="shared" si="18"/>
        <v>3929.9198333333334</v>
      </c>
    </row>
    <row r="46" spans="1:17" x14ac:dyDescent="0.35">
      <c r="A46" s="13" t="s">
        <v>45</v>
      </c>
      <c r="B46" s="13">
        <v>393.88799999999998</v>
      </c>
      <c r="C46" s="13">
        <v>2530.4839999999999</v>
      </c>
      <c r="D46" s="13">
        <v>1.1279999999999999</v>
      </c>
      <c r="E46" s="13">
        <v>2.0699999999999998</v>
      </c>
      <c r="F46" s="24">
        <f>AVERAGE(C45:C50)</f>
        <v>1983.9849999999999</v>
      </c>
      <c r="G46" s="22" t="s">
        <v>117</v>
      </c>
      <c r="H46" s="13">
        <v>25.219000000000001</v>
      </c>
      <c r="I46" s="13">
        <v>3070.0189999999998</v>
      </c>
      <c r="J46" s="13">
        <v>0.159</v>
      </c>
      <c r="K46" s="31">
        <v>0.496</v>
      </c>
      <c r="L46" s="28">
        <f t="shared" ref="L46:L64" si="29">AVERAGE(I45:I50)</f>
        <v>2074.5281999999997</v>
      </c>
    </row>
    <row r="47" spans="1:17" x14ac:dyDescent="0.35">
      <c r="A47" s="13" t="s">
        <v>46</v>
      </c>
      <c r="B47" s="13">
        <v>2107.1329999999998</v>
      </c>
      <c r="C47" s="13">
        <v>2094.0219999999999</v>
      </c>
      <c r="D47" s="13">
        <v>5.3869999999999996</v>
      </c>
      <c r="E47" s="13">
        <v>4.1500000000000004</v>
      </c>
      <c r="F47" s="24">
        <f>AVERAGE(D45:D50)</f>
        <v>7.9443333333333328</v>
      </c>
      <c r="G47" s="22" t="s">
        <v>118</v>
      </c>
      <c r="H47" s="13">
        <v>1907.17</v>
      </c>
      <c r="I47" s="13">
        <v>2172.8180000000002</v>
      </c>
      <c r="J47" s="13">
        <v>5.0739999999999998</v>
      </c>
      <c r="K47" s="31">
        <v>4.2510000000000003</v>
      </c>
      <c r="L47" s="28">
        <f t="shared" si="19"/>
        <v>9.1888333333333332</v>
      </c>
    </row>
    <row r="48" spans="1:17" x14ac:dyDescent="0.35">
      <c r="A48" s="13" t="s">
        <v>47</v>
      </c>
      <c r="B48" s="13">
        <v>6639.607</v>
      </c>
      <c r="C48" s="13">
        <v>1597.3810000000001</v>
      </c>
      <c r="D48" s="13">
        <v>13.749000000000001</v>
      </c>
      <c r="E48" s="13">
        <v>10.125</v>
      </c>
      <c r="F48" s="24">
        <f>AVERAGE(E45:E50)</f>
        <v>5.2690000000000001</v>
      </c>
      <c r="G48" s="22" t="s">
        <v>119</v>
      </c>
      <c r="H48" s="13">
        <v>8879.0499999999993</v>
      </c>
      <c r="I48" s="13">
        <v>1566.1310000000001</v>
      </c>
      <c r="J48" s="13">
        <v>20.710999999999999</v>
      </c>
      <c r="K48" s="31">
        <v>11.057</v>
      </c>
      <c r="L48" s="28">
        <f t="shared" si="20"/>
        <v>5.7331666666666665</v>
      </c>
    </row>
    <row r="49" spans="1:12" x14ac:dyDescent="0.35">
      <c r="A49" s="13" t="s">
        <v>48</v>
      </c>
      <c r="B49" s="13">
        <v>10474.849</v>
      </c>
      <c r="C49" s="13">
        <v>1526.277</v>
      </c>
      <c r="D49" s="13">
        <v>22.966999999999999</v>
      </c>
      <c r="E49" s="13">
        <v>11.753</v>
      </c>
      <c r="G49" s="22" t="s">
        <v>120</v>
      </c>
      <c r="H49" s="13">
        <v>10190.02</v>
      </c>
      <c r="I49" s="13">
        <v>1510.423</v>
      </c>
      <c r="J49" s="13">
        <v>22.742000000000001</v>
      </c>
      <c r="K49" s="31">
        <v>15.77</v>
      </c>
      <c r="L49" s="28">
        <v>0</v>
      </c>
    </row>
    <row r="50" spans="1:12" x14ac:dyDescent="0.35">
      <c r="A50" s="13" t="s">
        <v>49</v>
      </c>
      <c r="B50" s="13">
        <v>1918.029</v>
      </c>
      <c r="C50" s="13">
        <v>2171.761</v>
      </c>
      <c r="D50" s="13">
        <v>4.3840000000000003</v>
      </c>
      <c r="E50" s="13">
        <v>3.2890000000000001</v>
      </c>
      <c r="G50" s="22" t="s">
        <v>121</v>
      </c>
      <c r="H50" s="13">
        <v>2578.06</v>
      </c>
      <c r="I50" s="13">
        <v>2053.25</v>
      </c>
      <c r="J50" s="13">
        <v>6.3979999999999997</v>
      </c>
      <c r="K50" s="31">
        <v>2.6139999999999999</v>
      </c>
      <c r="L50" s="28">
        <v>0</v>
      </c>
    </row>
    <row r="51" spans="1:12" x14ac:dyDescent="0.35">
      <c r="A51" s="13" t="s">
        <v>50</v>
      </c>
      <c r="B51" s="13">
        <v>0</v>
      </c>
      <c r="C51" s="13"/>
      <c r="D51" s="13">
        <v>0.14099999999999999</v>
      </c>
      <c r="E51" s="13">
        <v>0.59499999999999997</v>
      </c>
      <c r="F51" s="24">
        <f>AVERAGE(B51:B56)</f>
        <v>2379.2313333333336</v>
      </c>
      <c r="G51" s="22" t="s">
        <v>122</v>
      </c>
      <c r="H51" s="13">
        <v>0</v>
      </c>
      <c r="I51" s="13"/>
      <c r="J51" s="13">
        <v>1.0999999999999999E-2</v>
      </c>
      <c r="K51" s="31">
        <v>5.2999999999999999E-2</v>
      </c>
      <c r="L51" s="28">
        <f t="shared" si="21"/>
        <v>1973.9233333333332</v>
      </c>
    </row>
    <row r="52" spans="1:12" x14ac:dyDescent="0.35">
      <c r="A52" s="13" t="s">
        <v>51</v>
      </c>
      <c r="B52" s="13">
        <v>341.86799999999999</v>
      </c>
      <c r="C52" s="13">
        <v>2721.8240000000001</v>
      </c>
      <c r="D52" s="13">
        <v>0.93700000000000006</v>
      </c>
      <c r="E52" s="13">
        <v>0.89400000000000002</v>
      </c>
      <c r="F52" s="24">
        <f>AVERAGE(C51:C56)</f>
        <v>2128.3664000000003</v>
      </c>
      <c r="G52" s="22" t="s">
        <v>123</v>
      </c>
      <c r="H52" s="13">
        <v>392.98</v>
      </c>
      <c r="I52" s="13">
        <v>2682.9110000000001</v>
      </c>
      <c r="J52" s="13">
        <v>1.244</v>
      </c>
      <c r="K52" s="31">
        <v>2.2170000000000001</v>
      </c>
      <c r="L52" s="28">
        <f t="shared" si="22"/>
        <v>2168.2388000000001</v>
      </c>
    </row>
    <row r="53" spans="1:12" x14ac:dyDescent="0.35">
      <c r="A53" s="13" t="s">
        <v>52</v>
      </c>
      <c r="B53" s="13">
        <v>1272.9100000000001</v>
      </c>
      <c r="C53" s="13">
        <v>2244.7689999999998</v>
      </c>
      <c r="D53" s="13">
        <v>3.0409999999999999</v>
      </c>
      <c r="E53" s="13">
        <v>3.64</v>
      </c>
      <c r="F53" s="24">
        <f>AVERAGE(D51:D56)</f>
        <v>5.7323333333333331</v>
      </c>
      <c r="G53" s="22" t="s">
        <v>124</v>
      </c>
      <c r="H53" s="13">
        <v>1685.12</v>
      </c>
      <c r="I53" s="13">
        <v>2200.7759999999998</v>
      </c>
      <c r="J53" s="13">
        <v>4.4649999999999999</v>
      </c>
      <c r="K53" s="31">
        <v>4.0410000000000004</v>
      </c>
      <c r="L53" s="28">
        <f t="shared" si="23"/>
        <v>4.6379999999999999</v>
      </c>
    </row>
    <row r="54" spans="1:12" x14ac:dyDescent="0.35">
      <c r="A54" s="13" t="s">
        <v>53</v>
      </c>
      <c r="B54" s="13">
        <v>7468.9269999999997</v>
      </c>
      <c r="C54" s="13">
        <v>1567.748</v>
      </c>
      <c r="D54" s="13">
        <v>17.72</v>
      </c>
      <c r="E54" s="13">
        <v>10.95</v>
      </c>
      <c r="F54" s="24">
        <f>AVERAGE(E51:E56)</f>
        <v>3.8155000000000001</v>
      </c>
      <c r="G54" s="22" t="s">
        <v>125</v>
      </c>
      <c r="H54" s="13">
        <v>4510.05</v>
      </c>
      <c r="I54" s="13">
        <v>1799.2260000000001</v>
      </c>
      <c r="J54" s="13">
        <v>9.1579999999999995</v>
      </c>
      <c r="K54" s="31">
        <v>10.163</v>
      </c>
      <c r="L54" s="28">
        <f t="shared" si="24"/>
        <v>3.9158333333333335</v>
      </c>
    </row>
    <row r="55" spans="1:12" x14ac:dyDescent="0.35">
      <c r="A55" s="13" t="s">
        <v>54</v>
      </c>
      <c r="B55" s="13">
        <v>2647.3690000000001</v>
      </c>
      <c r="C55" s="13">
        <v>2047.066</v>
      </c>
      <c r="D55" s="13">
        <v>6.3140000000000001</v>
      </c>
      <c r="E55" s="13">
        <v>3.5369999999999999</v>
      </c>
      <c r="G55" s="22" t="s">
        <v>126</v>
      </c>
      <c r="H55" s="13">
        <v>3791.84</v>
      </c>
      <c r="I55" s="13">
        <v>1894.857</v>
      </c>
      <c r="J55" s="13">
        <v>9.2260000000000009</v>
      </c>
      <c r="K55" s="31">
        <v>5.1310000000000002</v>
      </c>
      <c r="L55" s="28">
        <v>0</v>
      </c>
    </row>
    <row r="56" spans="1:12" x14ac:dyDescent="0.35">
      <c r="A56" s="13" t="s">
        <v>55</v>
      </c>
      <c r="B56" s="13">
        <v>2544.3139999999999</v>
      </c>
      <c r="C56" s="13">
        <v>2060.4250000000002</v>
      </c>
      <c r="D56" s="13">
        <v>6.2409999999999997</v>
      </c>
      <c r="E56" s="13">
        <v>3.2770000000000001</v>
      </c>
      <c r="G56" s="22" t="s">
        <v>127</v>
      </c>
      <c r="H56" s="13">
        <v>1463.55</v>
      </c>
      <c r="I56" s="13">
        <v>2263.424</v>
      </c>
      <c r="J56" s="13">
        <v>3.7240000000000002</v>
      </c>
      <c r="K56" s="31">
        <v>1.89</v>
      </c>
      <c r="L56" s="28">
        <v>0</v>
      </c>
    </row>
    <row r="57" spans="1:12" x14ac:dyDescent="0.35">
      <c r="A57" s="13" t="s">
        <v>56</v>
      </c>
      <c r="B57" s="13">
        <v>0</v>
      </c>
      <c r="C57" s="13"/>
      <c r="D57" s="13">
        <v>1.7999999999999999E-2</v>
      </c>
      <c r="E57" s="13">
        <v>8.4000000000000005E-2</v>
      </c>
      <c r="F57" s="24">
        <f>AVERAGE(B57:B62)</f>
        <v>1485.104</v>
      </c>
      <c r="G57" s="22" t="s">
        <v>128</v>
      </c>
      <c r="H57" s="13">
        <v>0</v>
      </c>
      <c r="I57" s="13"/>
      <c r="J57" s="13">
        <v>4.9000000000000002E-2</v>
      </c>
      <c r="K57" s="31">
        <v>0.22700000000000001</v>
      </c>
      <c r="L57" s="28">
        <f t="shared" ref="L57" si="30">AVERAGE(H57:H62)</f>
        <v>4712.4158333333335</v>
      </c>
    </row>
    <row r="58" spans="1:12" x14ac:dyDescent="0.35">
      <c r="A58" s="13" t="s">
        <v>57</v>
      </c>
      <c r="B58" s="13">
        <v>944.85599999999999</v>
      </c>
      <c r="C58" s="13">
        <v>2395.7339999999999</v>
      </c>
      <c r="D58" s="13">
        <v>1.9850000000000001</v>
      </c>
      <c r="E58" s="13">
        <v>2.7080000000000002</v>
      </c>
      <c r="F58" s="24">
        <f>AVERAGE(C57:C62)</f>
        <v>2218.2148000000002</v>
      </c>
      <c r="G58" s="22" t="s">
        <v>129</v>
      </c>
      <c r="H58" s="13">
        <v>85.254999999999995</v>
      </c>
      <c r="I58" s="13">
        <v>2805.7530000000002</v>
      </c>
      <c r="J58" s="13">
        <v>0.30299999999999999</v>
      </c>
      <c r="K58" s="31">
        <v>0.64300000000000002</v>
      </c>
      <c r="L58" s="28">
        <f t="shared" ref="L58" si="31">AVERAGE(I57:I62)</f>
        <v>1986.8576</v>
      </c>
    </row>
    <row r="59" spans="1:12" x14ac:dyDescent="0.35">
      <c r="A59" s="13" t="s">
        <v>58</v>
      </c>
      <c r="B59" s="13">
        <v>1950.9960000000001</v>
      </c>
      <c r="C59" s="13">
        <v>2169.8560000000002</v>
      </c>
      <c r="D59" s="13">
        <v>4.7110000000000003</v>
      </c>
      <c r="E59" s="13">
        <v>3.274</v>
      </c>
      <c r="F59" s="24">
        <f>AVERAGE(D57:D62)</f>
        <v>4.1315</v>
      </c>
      <c r="G59" s="22" t="s">
        <v>130</v>
      </c>
      <c r="H59" s="13">
        <v>2658.98</v>
      </c>
      <c r="I59" s="13">
        <v>2020.84</v>
      </c>
      <c r="J59" s="13">
        <v>6.1070000000000002</v>
      </c>
      <c r="K59" s="31">
        <v>6.7460000000000004</v>
      </c>
      <c r="L59" s="28">
        <f t="shared" ref="L59" si="32">AVERAGE(J57:J62)</f>
        <v>9.2361666666666675</v>
      </c>
    </row>
    <row r="60" spans="1:12" x14ac:dyDescent="0.35">
      <c r="A60" s="13" t="s">
        <v>59</v>
      </c>
      <c r="B60" s="13">
        <v>2118.902</v>
      </c>
      <c r="C60" s="13">
        <v>2132.248</v>
      </c>
      <c r="D60" s="13">
        <v>6.7779999999999996</v>
      </c>
      <c r="E60" s="13">
        <v>5.7629999999999999</v>
      </c>
      <c r="F60" s="24">
        <f>AVERAGE(E57:E62)</f>
        <v>3.5611666666666668</v>
      </c>
      <c r="G60" s="22" t="s">
        <v>131</v>
      </c>
      <c r="H60" s="13">
        <v>17550.03</v>
      </c>
      <c r="I60" s="13">
        <v>1280.424</v>
      </c>
      <c r="J60" s="13">
        <v>30.006</v>
      </c>
      <c r="K60" s="31">
        <v>26.49</v>
      </c>
      <c r="L60" s="28">
        <f t="shared" ref="L60" si="33">AVERAGE(K57:K62)</f>
        <v>7.3881666666666668</v>
      </c>
    </row>
    <row r="61" spans="1:12" x14ac:dyDescent="0.35">
      <c r="A61" s="13" t="s">
        <v>60</v>
      </c>
      <c r="B61" s="13">
        <v>2827.3130000000001</v>
      </c>
      <c r="C61" s="13">
        <v>2021.713</v>
      </c>
      <c r="D61" s="13">
        <v>8.2680000000000007</v>
      </c>
      <c r="E61" s="13">
        <v>6.9470000000000001</v>
      </c>
      <c r="G61" s="22" t="s">
        <v>132</v>
      </c>
      <c r="H61" s="13">
        <v>5349.53</v>
      </c>
      <c r="I61" s="13">
        <v>1780.5160000000001</v>
      </c>
      <c r="J61" s="13">
        <v>12.422000000000001</v>
      </c>
      <c r="K61" s="31">
        <v>8.0890000000000004</v>
      </c>
      <c r="L61" s="28">
        <v>0</v>
      </c>
    </row>
    <row r="62" spans="1:12" x14ac:dyDescent="0.35">
      <c r="A62" s="13" t="s">
        <v>61</v>
      </c>
      <c r="B62" s="13">
        <v>1068.557</v>
      </c>
      <c r="C62" s="13">
        <v>2371.5230000000001</v>
      </c>
      <c r="D62" s="13">
        <v>3.0289999999999999</v>
      </c>
      <c r="E62" s="13">
        <v>2.5910000000000002</v>
      </c>
      <c r="G62" s="22" t="s">
        <v>133</v>
      </c>
      <c r="H62" s="13">
        <v>2630.7</v>
      </c>
      <c r="I62" s="13">
        <v>2046.7550000000001</v>
      </c>
      <c r="J62" s="13">
        <v>6.53</v>
      </c>
      <c r="K62" s="31">
        <v>2.1339999999999999</v>
      </c>
      <c r="L62" s="28">
        <v>0</v>
      </c>
    </row>
    <row r="63" spans="1:12" x14ac:dyDescent="0.35">
      <c r="A63" s="13" t="s">
        <v>62</v>
      </c>
      <c r="B63" s="13">
        <v>0</v>
      </c>
      <c r="C63" s="13"/>
      <c r="D63" s="13">
        <v>8.2000000000000003E-2</v>
      </c>
      <c r="E63" s="13">
        <v>0.35099999999999998</v>
      </c>
      <c r="F63" s="24">
        <f>AVERAGE(B63:B68)</f>
        <v>3026.2488333333336</v>
      </c>
      <c r="G63" s="22" t="s">
        <v>134</v>
      </c>
      <c r="H63" s="13">
        <v>0.58699999999999997</v>
      </c>
      <c r="I63" s="13">
        <v>3350.8130000000001</v>
      </c>
      <c r="J63" s="13">
        <v>8.8999999999999996E-2</v>
      </c>
      <c r="K63" s="31">
        <v>0.307</v>
      </c>
      <c r="L63" s="28">
        <f t="shared" si="18"/>
        <v>2119.2635</v>
      </c>
    </row>
    <row r="64" spans="1:12" x14ac:dyDescent="0.35">
      <c r="A64" s="13" t="s">
        <v>63</v>
      </c>
      <c r="B64" s="13">
        <v>23.588000000000001</v>
      </c>
      <c r="C64" s="13">
        <v>3047.596</v>
      </c>
      <c r="D64" s="13">
        <v>7.1999999999999995E-2</v>
      </c>
      <c r="E64" s="13">
        <v>0.123</v>
      </c>
      <c r="F64" s="24">
        <f>AVERAGE(C63:C68)</f>
        <v>2141.0755999999997</v>
      </c>
      <c r="G64" s="22" t="s">
        <v>135</v>
      </c>
      <c r="H64" s="13">
        <v>165.87899999999999</v>
      </c>
      <c r="I64" s="13">
        <v>2874.38</v>
      </c>
      <c r="J64" s="13">
        <v>0.55900000000000005</v>
      </c>
      <c r="K64" s="31">
        <v>1.258</v>
      </c>
      <c r="L64" s="28">
        <f t="shared" si="29"/>
        <v>2434.7453333333333</v>
      </c>
    </row>
    <row r="65" spans="1:12" x14ac:dyDescent="0.35">
      <c r="A65" s="13" t="s">
        <v>64</v>
      </c>
      <c r="B65" s="13">
        <v>885.55799999999999</v>
      </c>
      <c r="C65" s="13">
        <v>2352.7069999999999</v>
      </c>
      <c r="D65" s="13">
        <v>1.875</v>
      </c>
      <c r="E65" s="13">
        <v>3.1349999999999998</v>
      </c>
      <c r="F65" s="24">
        <f>AVERAGE(D63:D68)</f>
        <v>6.8765000000000001</v>
      </c>
      <c r="G65" s="22" t="s">
        <v>136</v>
      </c>
      <c r="H65" s="13">
        <v>846.40499999999997</v>
      </c>
      <c r="I65" s="13">
        <v>2456.9490000000001</v>
      </c>
      <c r="J65" s="13">
        <v>2.4209999999999998</v>
      </c>
      <c r="K65" s="31">
        <v>1.873</v>
      </c>
      <c r="L65" s="28">
        <f t="shared" si="19"/>
        <v>5.1663333333333332</v>
      </c>
    </row>
    <row r="66" spans="1:12" x14ac:dyDescent="0.35">
      <c r="A66" s="13" t="s">
        <v>65</v>
      </c>
      <c r="B66" s="13">
        <v>6270.0469999999996</v>
      </c>
      <c r="C66" s="13">
        <v>1650.5450000000001</v>
      </c>
      <c r="D66" s="13">
        <v>12.452</v>
      </c>
      <c r="E66" s="13">
        <v>9.0220000000000002</v>
      </c>
      <c r="F66" s="24">
        <f>AVERAGE(E63:E68)</f>
        <v>3.8121666666666663</v>
      </c>
      <c r="G66" s="22" t="s">
        <v>137</v>
      </c>
      <c r="H66" s="13">
        <v>1982.77</v>
      </c>
      <c r="I66" s="13">
        <v>2127.8629999999998</v>
      </c>
      <c r="J66" s="13">
        <v>4.952</v>
      </c>
      <c r="K66" s="31">
        <v>4.28</v>
      </c>
      <c r="L66" s="28">
        <f t="shared" si="20"/>
        <v>3.3359999999999999</v>
      </c>
    </row>
    <row r="67" spans="1:12" x14ac:dyDescent="0.35">
      <c r="A67" s="13" t="s">
        <v>66</v>
      </c>
      <c r="B67" s="13">
        <v>8634.3080000000009</v>
      </c>
      <c r="C67" s="13">
        <v>1571.7650000000001</v>
      </c>
      <c r="D67" s="13">
        <v>21.207999999999998</v>
      </c>
      <c r="E67" s="13">
        <v>7.3970000000000002</v>
      </c>
      <c r="G67" s="22" t="s">
        <v>138</v>
      </c>
      <c r="H67" s="13">
        <v>7914.79</v>
      </c>
      <c r="I67" s="13">
        <v>1634.1880000000001</v>
      </c>
      <c r="J67" s="13">
        <v>18.733000000000001</v>
      </c>
      <c r="K67" s="31">
        <v>9.5109999999999992</v>
      </c>
      <c r="L67" s="28">
        <v>0</v>
      </c>
    </row>
    <row r="68" spans="1:12" x14ac:dyDescent="0.35">
      <c r="A68" s="13" t="s">
        <v>67</v>
      </c>
      <c r="B68" s="13">
        <v>2343.9920000000002</v>
      </c>
      <c r="C68" s="13">
        <v>2082.7649999999999</v>
      </c>
      <c r="D68" s="13">
        <v>5.57</v>
      </c>
      <c r="E68" s="13">
        <v>2.8450000000000002</v>
      </c>
      <c r="G68" s="22" t="s">
        <v>139</v>
      </c>
      <c r="H68" s="13">
        <v>1805.15</v>
      </c>
      <c r="I68" s="13">
        <v>2164.279</v>
      </c>
      <c r="J68" s="13">
        <v>4.2439999999999998</v>
      </c>
      <c r="K68" s="31">
        <v>2.7869999999999999</v>
      </c>
      <c r="L68" s="28">
        <v>0</v>
      </c>
    </row>
    <row r="69" spans="1:12" x14ac:dyDescent="0.35">
      <c r="A69" s="13" t="s">
        <v>68</v>
      </c>
      <c r="B69" s="13">
        <v>0</v>
      </c>
      <c r="C69" s="13"/>
      <c r="D69" s="13">
        <v>0.09</v>
      </c>
      <c r="E69" s="13">
        <v>0.36599999999999999</v>
      </c>
      <c r="F69" s="24">
        <f>AVERAGE(B69:B74)</f>
        <v>4880.1324999999997</v>
      </c>
      <c r="G69" s="22" t="s">
        <v>140</v>
      </c>
      <c r="H69" s="13">
        <v>5.0000000000000001E-3</v>
      </c>
      <c r="I69" s="13"/>
      <c r="J69" s="13">
        <v>0.108</v>
      </c>
      <c r="K69" s="31">
        <v>0.442</v>
      </c>
      <c r="L69" s="28">
        <f t="shared" si="21"/>
        <v>1934.4783333333335</v>
      </c>
    </row>
    <row r="70" spans="1:12" x14ac:dyDescent="0.35">
      <c r="A70" s="13" t="s">
        <v>69</v>
      </c>
      <c r="B70" s="13">
        <v>937.952</v>
      </c>
      <c r="C70" s="13">
        <v>2400.0320000000002</v>
      </c>
      <c r="D70" s="13">
        <v>2.5640000000000001</v>
      </c>
      <c r="E70" s="13">
        <v>2.4750000000000001</v>
      </c>
      <c r="F70" s="24">
        <f>AVERAGE(C69:C74)</f>
        <v>1857.9833999999998</v>
      </c>
      <c r="G70" s="22" t="s">
        <v>141</v>
      </c>
      <c r="H70" s="13">
        <v>509.66500000000002</v>
      </c>
      <c r="I70" s="13">
        <v>2506.98</v>
      </c>
      <c r="J70" s="13">
        <v>1.5760000000000001</v>
      </c>
      <c r="K70" s="31">
        <v>3.222</v>
      </c>
      <c r="L70" s="28">
        <f t="shared" si="22"/>
        <v>2146.3375999999998</v>
      </c>
    </row>
    <row r="71" spans="1:12" x14ac:dyDescent="0.35">
      <c r="A71" s="13" t="s">
        <v>70</v>
      </c>
      <c r="B71" s="13">
        <v>1811.04</v>
      </c>
      <c r="C71" s="13">
        <v>2125.0889999999999</v>
      </c>
      <c r="D71" s="13">
        <v>4.3710000000000004</v>
      </c>
      <c r="E71" s="13">
        <v>4.5410000000000004</v>
      </c>
      <c r="F71" s="24">
        <f>AVERAGE(D69:D74)</f>
        <v>11.391500000000001</v>
      </c>
      <c r="G71" s="22" t="s">
        <v>142</v>
      </c>
      <c r="H71" s="13">
        <v>1200.8900000000001</v>
      </c>
      <c r="I71" s="13">
        <v>2323.1790000000001</v>
      </c>
      <c r="J71" s="13">
        <v>3.1059999999999999</v>
      </c>
      <c r="K71" s="31">
        <v>2.863</v>
      </c>
      <c r="L71" s="28">
        <f t="shared" si="23"/>
        <v>4.9198333333333331</v>
      </c>
    </row>
    <row r="72" spans="1:12" x14ac:dyDescent="0.35">
      <c r="A72" s="13" t="s">
        <v>71</v>
      </c>
      <c r="B72" s="13">
        <v>5502.3389999999999</v>
      </c>
      <c r="C72" s="13">
        <v>1745.163</v>
      </c>
      <c r="D72" s="13">
        <v>12.755000000000001</v>
      </c>
      <c r="E72" s="13">
        <v>9.1620000000000008</v>
      </c>
      <c r="F72" s="24">
        <f>AVERAGE(E69:E74)</f>
        <v>7.2283333333333344</v>
      </c>
      <c r="G72" s="22" t="s">
        <v>143</v>
      </c>
      <c r="H72" s="13">
        <v>4020.02</v>
      </c>
      <c r="I72" s="13">
        <v>1847.479</v>
      </c>
      <c r="J72" s="13">
        <v>9.2680000000000007</v>
      </c>
      <c r="K72" s="31">
        <v>5.95</v>
      </c>
      <c r="L72" s="28">
        <f t="shared" si="24"/>
        <v>3.2535000000000003</v>
      </c>
    </row>
    <row r="73" spans="1:12" x14ac:dyDescent="0.35">
      <c r="A73" s="13" t="s">
        <v>72</v>
      </c>
      <c r="B73" s="13">
        <v>10035.6</v>
      </c>
      <c r="C73" s="13">
        <v>1535.982</v>
      </c>
      <c r="D73" s="13">
        <v>24.09</v>
      </c>
      <c r="E73" s="13">
        <v>9.6890000000000001</v>
      </c>
      <c r="G73" s="22" t="s">
        <v>144</v>
      </c>
      <c r="H73" s="13">
        <v>3673.53</v>
      </c>
      <c r="I73" s="13">
        <v>1929.895</v>
      </c>
      <c r="J73" s="13">
        <v>9.6509999999999998</v>
      </c>
      <c r="K73" s="31">
        <v>4.7770000000000001</v>
      </c>
      <c r="L73" s="28">
        <v>0</v>
      </c>
    </row>
    <row r="74" spans="1:12" x14ac:dyDescent="0.35">
      <c r="A74" s="13" t="s">
        <v>73</v>
      </c>
      <c r="B74" s="13">
        <v>10993.864</v>
      </c>
      <c r="C74" s="13">
        <v>1483.6510000000001</v>
      </c>
      <c r="D74" s="13">
        <v>24.478999999999999</v>
      </c>
      <c r="E74" s="13">
        <v>17.137</v>
      </c>
      <c r="G74" s="22" t="s">
        <v>145</v>
      </c>
      <c r="H74" s="13">
        <v>2202.7600000000002</v>
      </c>
      <c r="I74" s="13">
        <v>2124.1550000000002</v>
      </c>
      <c r="J74" s="13">
        <v>5.81</v>
      </c>
      <c r="K74" s="31">
        <v>2.2669999999999999</v>
      </c>
      <c r="L74" s="28">
        <v>0</v>
      </c>
    </row>
    <row r="75" spans="1:12" x14ac:dyDescent="0.35">
      <c r="A75" s="4" t="s">
        <v>152</v>
      </c>
      <c r="B75" s="15">
        <f>SUM(B3:B74)</f>
        <v>277192.66599999991</v>
      </c>
      <c r="C75" s="15">
        <f t="shared" ref="C75:E75" si="34">SUM(C3:C74)</f>
        <v>127706</v>
      </c>
      <c r="D75" s="15">
        <f t="shared" si="34"/>
        <v>648.0540000000002</v>
      </c>
      <c r="E75" s="15">
        <f t="shared" si="34"/>
        <v>428.29899999999992</v>
      </c>
      <c r="G75" s="23" t="s">
        <v>152</v>
      </c>
      <c r="H75" s="15">
        <f>SUM(H3:H74)</f>
        <v>216014.731</v>
      </c>
      <c r="I75" s="15">
        <f t="shared" ref="I75" si="35">SUM(I3:I74)</f>
        <v>138618.18999999992</v>
      </c>
      <c r="J75" s="15">
        <f t="shared" ref="J75" si="36">SUM(J3:J74)</f>
        <v>499.72000000000014</v>
      </c>
      <c r="K75" s="32">
        <f t="shared" ref="K75" si="37">SUM(K3:K74)</f>
        <v>336.58199999999999</v>
      </c>
      <c r="L75" s="28"/>
    </row>
    <row r="76" spans="1:12" x14ac:dyDescent="0.35">
      <c r="A76" s="4" t="s">
        <v>153</v>
      </c>
      <c r="B76" s="15">
        <f>AVERAGE(B3:B74)</f>
        <v>3849.8981388888878</v>
      </c>
      <c r="C76" s="15">
        <f t="shared" ref="C76:D76" si="38">AVERAGE(C3:C74)</f>
        <v>2027.0793650793651</v>
      </c>
      <c r="D76" s="15">
        <f t="shared" si="38"/>
        <v>9.0007500000000036</v>
      </c>
      <c r="E76" s="15">
        <f t="shared" ref="E76" si="39">AVERAGE(E3:E74)</f>
        <v>5.9485972222222214</v>
      </c>
      <c r="G76" s="23" t="s">
        <v>153</v>
      </c>
      <c r="H76" s="15">
        <f>AVERAGE(H3:H74)</f>
        <v>3000.2045972222222</v>
      </c>
      <c r="I76" s="15">
        <f>AVERAGE(I3:I74)</f>
        <v>2165.9092187499987</v>
      </c>
      <c r="J76" s="15">
        <f t="shared" ref="J76:K76" si="40">AVERAGE(J3:J74)</f>
        <v>6.9405555555555578</v>
      </c>
      <c r="K76" s="15">
        <f t="shared" si="40"/>
        <v>4.6747499999999995</v>
      </c>
      <c r="L76" s="28"/>
    </row>
  </sheetData>
  <mergeCells count="4">
    <mergeCell ref="B1:E1"/>
    <mergeCell ref="H1:K1"/>
    <mergeCell ref="N1:Q1"/>
    <mergeCell ref="T1:W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8"/>
  <sheetViews>
    <sheetView topLeftCell="BL1" workbookViewId="0">
      <selection activeCell="A2" sqref="A2:BU12"/>
    </sheetView>
  </sheetViews>
  <sheetFormatPr defaultRowHeight="14.5" x14ac:dyDescent="0.35"/>
  <cols>
    <col min="1" max="2" width="19.54296875" bestFit="1" customWidth="1"/>
    <col min="9" max="9" width="16.7265625" bestFit="1" customWidth="1"/>
    <col min="10" max="10" width="9" bestFit="1" customWidth="1"/>
    <col min="74" max="74" width="16.7265625" bestFit="1" customWidth="1"/>
    <col min="75" max="75" width="8.90625" customWidth="1"/>
    <col min="76" max="76" width="7.36328125" customWidth="1"/>
    <col min="77" max="77" width="7.08984375" customWidth="1"/>
    <col min="78" max="78" width="7" customWidth="1"/>
    <col min="79" max="79" width="7.1796875" bestFit="1" customWidth="1"/>
    <col min="80" max="80" width="7.81640625" customWidth="1"/>
  </cols>
  <sheetData>
    <row r="1" spans="1:81" x14ac:dyDescent="0.35">
      <c r="BW1" s="66" t="s">
        <v>183</v>
      </c>
      <c r="BX1" s="66"/>
      <c r="BY1" s="66"/>
      <c r="BZ1" s="66"/>
      <c r="CA1" s="66"/>
      <c r="CB1" s="66"/>
    </row>
    <row r="2" spans="1:81" s="11" customFormat="1" x14ac:dyDescent="0.35">
      <c r="A2" s="14" t="s">
        <v>0</v>
      </c>
      <c r="B2" s="21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2" t="s">
        <v>21</v>
      </c>
      <c r="V2" s="12" t="s">
        <v>22</v>
      </c>
      <c r="W2" s="12" t="s">
        <v>23</v>
      </c>
      <c r="X2" s="12" t="s">
        <v>24</v>
      </c>
      <c r="Y2" s="12" t="s">
        <v>25</v>
      </c>
      <c r="Z2" s="12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2" t="s">
        <v>34</v>
      </c>
      <c r="AI2" s="12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2" t="s">
        <v>51</v>
      </c>
      <c r="AZ2" s="12" t="s">
        <v>52</v>
      </c>
      <c r="BA2" s="12" t="s">
        <v>53</v>
      </c>
      <c r="BB2" s="12" t="s">
        <v>54</v>
      </c>
      <c r="BC2" s="12" t="s">
        <v>55</v>
      </c>
      <c r="BD2" s="12" t="s">
        <v>56</v>
      </c>
      <c r="BE2" s="12" t="s">
        <v>57</v>
      </c>
      <c r="BF2" s="12" t="s">
        <v>58</v>
      </c>
      <c r="BG2" s="12" t="s">
        <v>59</v>
      </c>
      <c r="BH2" s="12" t="s">
        <v>60</v>
      </c>
      <c r="BI2" s="12" t="s">
        <v>61</v>
      </c>
      <c r="BJ2" s="12" t="s">
        <v>62</v>
      </c>
      <c r="BK2" s="12" t="s">
        <v>63</v>
      </c>
      <c r="BL2" s="12" t="s">
        <v>64</v>
      </c>
      <c r="BM2" s="12" t="s">
        <v>65</v>
      </c>
      <c r="BN2" s="12" t="s">
        <v>66</v>
      </c>
      <c r="BO2" s="12" t="s">
        <v>67</v>
      </c>
      <c r="BP2" s="12" t="s">
        <v>68</v>
      </c>
      <c r="BQ2" s="12" t="s">
        <v>69</v>
      </c>
      <c r="BR2" s="12" t="s">
        <v>70</v>
      </c>
      <c r="BS2" s="12" t="s">
        <v>71</v>
      </c>
      <c r="BT2" s="12" t="s">
        <v>72</v>
      </c>
      <c r="BU2" s="12" t="s">
        <v>73</v>
      </c>
      <c r="BV2" s="36" t="s">
        <v>186</v>
      </c>
      <c r="BW2" s="14">
        <v>10</v>
      </c>
      <c r="BX2" s="14">
        <v>11</v>
      </c>
      <c r="BY2" s="14">
        <v>12</v>
      </c>
      <c r="BZ2" s="14">
        <v>1</v>
      </c>
      <c r="CA2" s="14">
        <v>2</v>
      </c>
      <c r="CB2" s="14">
        <v>3</v>
      </c>
      <c r="CC2" s="20"/>
    </row>
    <row r="3" spans="1:81" s="11" customFormat="1" x14ac:dyDescent="0.35">
      <c r="A3" s="14" t="s">
        <v>1</v>
      </c>
      <c r="B3" s="20">
        <v>1.6819999999999999</v>
      </c>
      <c r="C3" s="11">
        <v>101.711</v>
      </c>
      <c r="D3" s="11">
        <v>4434.0389999999998</v>
      </c>
      <c r="E3" s="11">
        <v>6367.9390000000003</v>
      </c>
      <c r="F3" s="11">
        <v>5937.02</v>
      </c>
      <c r="G3" s="11">
        <v>1539.069</v>
      </c>
      <c r="H3" s="11">
        <v>0</v>
      </c>
      <c r="I3" s="11">
        <v>2039.249</v>
      </c>
      <c r="J3" s="11">
        <v>3357.011</v>
      </c>
      <c r="K3" s="11">
        <v>13520.546</v>
      </c>
      <c r="L3" s="11">
        <v>6483.2839999999997</v>
      </c>
      <c r="M3" s="11">
        <v>2071.4059999999999</v>
      </c>
      <c r="N3" s="11">
        <v>0</v>
      </c>
      <c r="O3" s="11">
        <v>255.899</v>
      </c>
      <c r="P3" s="11">
        <v>12274.308000000001</v>
      </c>
      <c r="Q3" s="11">
        <v>7468.3389999999999</v>
      </c>
      <c r="R3" s="11">
        <v>9727.9930000000004</v>
      </c>
      <c r="S3" s="11">
        <v>5980.5370000000003</v>
      </c>
      <c r="T3" s="11">
        <v>0</v>
      </c>
      <c r="U3" s="11">
        <v>262.64499999999998</v>
      </c>
      <c r="V3" s="11">
        <v>2306.0949999999998</v>
      </c>
      <c r="W3" s="11">
        <v>5990.4189999999999</v>
      </c>
      <c r="X3" s="11">
        <v>9445.6440000000002</v>
      </c>
      <c r="Y3" s="11">
        <v>1751.5119999999999</v>
      </c>
      <c r="Z3" s="11">
        <v>0</v>
      </c>
      <c r="AA3" s="11">
        <v>2368.451</v>
      </c>
      <c r="AB3" s="11">
        <v>4190.51</v>
      </c>
      <c r="AC3" s="11">
        <v>9710.7240000000002</v>
      </c>
      <c r="AD3" s="11">
        <v>15640.946</v>
      </c>
      <c r="AE3" s="11">
        <v>2425.4540000000002</v>
      </c>
      <c r="AF3" s="11">
        <v>6.577</v>
      </c>
      <c r="AG3" s="11">
        <v>499.60399999999998</v>
      </c>
      <c r="AH3" s="11">
        <v>1018.571</v>
      </c>
      <c r="AI3" s="11">
        <v>10319.092000000001</v>
      </c>
      <c r="AJ3" s="11">
        <v>7655.4040000000005</v>
      </c>
      <c r="AK3" s="11">
        <v>2873.2339999999999</v>
      </c>
      <c r="AL3" s="11">
        <v>0.623</v>
      </c>
      <c r="AM3" s="11">
        <v>859.029</v>
      </c>
      <c r="AN3" s="11">
        <v>1018.773</v>
      </c>
      <c r="AO3" s="11">
        <v>13222.46</v>
      </c>
      <c r="AP3" s="11">
        <v>8703.8289999999997</v>
      </c>
      <c r="AQ3" s="11">
        <v>3205.232</v>
      </c>
      <c r="AR3" s="11">
        <v>0</v>
      </c>
      <c r="AS3" s="11">
        <v>393.88799999999998</v>
      </c>
      <c r="AT3" s="11">
        <v>2107.1329999999998</v>
      </c>
      <c r="AU3" s="11">
        <v>6639.607</v>
      </c>
      <c r="AV3" s="11">
        <v>10474.849</v>
      </c>
      <c r="AW3" s="11">
        <v>1918.029</v>
      </c>
      <c r="AX3" s="11">
        <v>0</v>
      </c>
      <c r="AY3" s="11">
        <v>341.86799999999999</v>
      </c>
      <c r="AZ3" s="11">
        <v>1272.9100000000001</v>
      </c>
      <c r="BA3" s="11">
        <v>7468.9269999999997</v>
      </c>
      <c r="BB3" s="11">
        <v>2647.3690000000001</v>
      </c>
      <c r="BC3" s="11">
        <v>2544.3139999999999</v>
      </c>
      <c r="BD3" s="11">
        <v>0</v>
      </c>
      <c r="BE3" s="11">
        <v>944.85599999999999</v>
      </c>
      <c r="BF3" s="11">
        <v>1950.9960000000001</v>
      </c>
      <c r="BG3" s="11">
        <v>2118.902</v>
      </c>
      <c r="BH3" s="11">
        <v>2827.3130000000001</v>
      </c>
      <c r="BI3" s="11">
        <v>1068.557</v>
      </c>
      <c r="BJ3" s="11">
        <v>0</v>
      </c>
      <c r="BK3" s="11">
        <v>23.588000000000001</v>
      </c>
      <c r="BL3" s="11">
        <v>885.55799999999999</v>
      </c>
      <c r="BM3" s="11">
        <v>6270.0469999999996</v>
      </c>
      <c r="BN3" s="11">
        <v>8634.3080000000009</v>
      </c>
      <c r="BO3" s="11">
        <v>2343.9920000000002</v>
      </c>
      <c r="BP3" s="11">
        <v>0</v>
      </c>
      <c r="BQ3" s="11">
        <v>937.952</v>
      </c>
      <c r="BR3" s="11">
        <v>1811.04</v>
      </c>
      <c r="BS3" s="11">
        <v>5502.3389999999999</v>
      </c>
      <c r="BT3" s="11">
        <v>10035.6</v>
      </c>
      <c r="BU3" s="11">
        <v>10993.864</v>
      </c>
      <c r="BV3" s="17" t="s">
        <v>1</v>
      </c>
      <c r="BW3" s="28">
        <f>AVERAGE(BP3,BJ3,BD3,AX3,AR3,AL3,AF3,Z3,T3,N3,H3,B3)</f>
        <v>0.74016666666666664</v>
      </c>
      <c r="BX3" s="28">
        <f>AVERAGE(BQ3,BK3,BE3,AY3,AS3,AM3,AG3,AA3,U3,O3,I3,C3)</f>
        <v>752.39499999999998</v>
      </c>
      <c r="BY3" s="28">
        <f>AVERAGE(BR3,BL3,BF3,AZ3,AT3,AN3,AH3,AB3,V3,P3,J3,D3)</f>
        <v>3052.2453333333328</v>
      </c>
      <c r="BZ3" s="28">
        <f t="shared" ref="BZ3:CB3" si="0">AVERAGE(BS3,BM3,BG3,BA3,AU3,AO3,AI3,AC3,W3,Q3,K3,E3)</f>
        <v>7883.278416666667</v>
      </c>
      <c r="CA3" s="28">
        <f t="shared" si="0"/>
        <v>8184.4632500000007</v>
      </c>
      <c r="CB3" s="28">
        <f t="shared" si="0"/>
        <v>3226.2666666666669</v>
      </c>
      <c r="CC3" s="20"/>
    </row>
    <row r="4" spans="1:81" x14ac:dyDescent="0.35">
      <c r="A4" s="26" t="s">
        <v>146</v>
      </c>
      <c r="B4">
        <v>3114.192</v>
      </c>
      <c r="C4">
        <v>2879.569</v>
      </c>
      <c r="D4">
        <v>1831.175</v>
      </c>
      <c r="E4">
        <v>1670.575</v>
      </c>
      <c r="F4">
        <v>1716.9449999999999</v>
      </c>
      <c r="G4">
        <v>2235.5639999999999</v>
      </c>
      <c r="I4">
        <v>2045.117</v>
      </c>
      <c r="J4">
        <v>1937.1279999999999</v>
      </c>
      <c r="K4">
        <v>1392.2639999999999</v>
      </c>
      <c r="L4">
        <v>1672.87</v>
      </c>
      <c r="M4">
        <v>2132.1550000000002</v>
      </c>
      <c r="O4">
        <v>2764.4859999999999</v>
      </c>
      <c r="P4">
        <v>1415.2449999999999</v>
      </c>
      <c r="Q4">
        <v>1640.942</v>
      </c>
      <c r="R4">
        <v>1525.683</v>
      </c>
      <c r="S4">
        <v>1743.3050000000001</v>
      </c>
      <c r="U4">
        <v>2800.23</v>
      </c>
      <c r="V4">
        <v>2043.3630000000001</v>
      </c>
      <c r="W4">
        <v>1755.684</v>
      </c>
      <c r="X4">
        <v>1524.164</v>
      </c>
      <c r="Y4">
        <v>2191.2669999999998</v>
      </c>
      <c r="AA4">
        <v>2016.8869999999999</v>
      </c>
      <c r="AB4">
        <v>1863.5170000000001</v>
      </c>
      <c r="AC4">
        <v>1542.7539999999999</v>
      </c>
      <c r="AD4">
        <v>1339.424</v>
      </c>
      <c r="AE4">
        <v>2082.1979999999999</v>
      </c>
      <c r="AF4">
        <v>2990.8339999999998</v>
      </c>
      <c r="AG4">
        <v>2616.7020000000002</v>
      </c>
      <c r="AH4">
        <v>2291.127</v>
      </c>
      <c r="AI4">
        <v>1517.3630000000001</v>
      </c>
      <c r="AJ4">
        <v>1633.5730000000001</v>
      </c>
      <c r="AK4">
        <v>1981.3389999999999</v>
      </c>
      <c r="AL4">
        <v>2479.7359999999999</v>
      </c>
      <c r="AM4">
        <v>2425.3789999999999</v>
      </c>
      <c r="AN4">
        <v>2313.1660000000002</v>
      </c>
      <c r="AO4">
        <v>1394.675</v>
      </c>
      <c r="AP4">
        <v>1568.5650000000001</v>
      </c>
      <c r="AQ4">
        <v>1968.712</v>
      </c>
      <c r="AS4">
        <v>2530.4839999999999</v>
      </c>
      <c r="AT4">
        <v>2094.0219999999999</v>
      </c>
      <c r="AU4">
        <v>1597.3810000000001</v>
      </c>
      <c r="AV4">
        <v>1526.277</v>
      </c>
      <c r="AW4">
        <v>2171.761</v>
      </c>
      <c r="AY4">
        <v>2721.8240000000001</v>
      </c>
      <c r="AZ4">
        <v>2244.7689999999998</v>
      </c>
      <c r="BA4">
        <v>1567.748</v>
      </c>
      <c r="BB4">
        <v>2047.066</v>
      </c>
      <c r="BC4">
        <v>2060.4250000000002</v>
      </c>
      <c r="BE4">
        <v>2395.7339999999999</v>
      </c>
      <c r="BF4">
        <v>2169.8560000000002</v>
      </c>
      <c r="BG4">
        <v>2132.248</v>
      </c>
      <c r="BH4">
        <v>2021.713</v>
      </c>
      <c r="BI4">
        <v>2371.5230000000001</v>
      </c>
      <c r="BK4">
        <v>3047.596</v>
      </c>
      <c r="BL4">
        <v>2352.7069999999999</v>
      </c>
      <c r="BM4">
        <v>1650.5450000000001</v>
      </c>
      <c r="BN4">
        <v>1571.7650000000001</v>
      </c>
      <c r="BO4">
        <v>2082.7649999999999</v>
      </c>
      <c r="BQ4">
        <v>2400.0320000000002</v>
      </c>
      <c r="BR4">
        <v>2125.0889999999999</v>
      </c>
      <c r="BS4">
        <v>1745.163</v>
      </c>
      <c r="BT4">
        <v>1535.982</v>
      </c>
      <c r="BU4">
        <v>1483.6510000000001</v>
      </c>
      <c r="BV4" s="17" t="s">
        <v>146</v>
      </c>
      <c r="BW4" s="28">
        <f t="shared" ref="BW4:BW6" si="1">AVERAGE(BP4,BJ4,BD4,AX4,AR4,AL4,AF4,Z4,T4,N4,H4,B4)</f>
        <v>2861.5873333333329</v>
      </c>
      <c r="BX4" s="28">
        <f t="shared" ref="BX4:BX6" si="2">AVERAGE(BQ4,BK4,BE4,AY4,AS4,AM4,AG4,AA4,U4,O4,I4,C4)</f>
        <v>2553.67</v>
      </c>
      <c r="BY4" s="28">
        <f t="shared" ref="BY4:BY6" si="3">AVERAGE(BR4,BL4,BF4,AZ4,AT4,AN4,AH4,AB4,V4,P4,J4,D4)</f>
        <v>2056.7636666666667</v>
      </c>
      <c r="BZ4" s="28">
        <f t="shared" ref="BZ4:BZ6" si="4">AVERAGE(BS4,BM4,BG4,BA4,AU4,AO4,AI4,AC4,W4,Q4,K4,E4)</f>
        <v>1633.9451666666664</v>
      </c>
      <c r="CA4" s="28">
        <f t="shared" ref="CA4:CA6" si="5">AVERAGE(BT4,BN4,BH4,BB4,AV4,AP4,AJ4,AD4,X4,R4,L4,F4)</f>
        <v>1640.3355833333335</v>
      </c>
      <c r="CB4" s="28">
        <f t="shared" ref="CB4:CB6" si="6">AVERAGE(BU4,BO4,BI4,BC4,AW4,AQ4,AK4,AE4,Y4,S4,M4,G4)</f>
        <v>2042.0554166666664</v>
      </c>
    </row>
    <row r="5" spans="1:81" x14ac:dyDescent="0.35">
      <c r="A5" s="26" t="s">
        <v>147</v>
      </c>
      <c r="B5">
        <v>0.1</v>
      </c>
      <c r="C5">
        <v>0.67900000000000005</v>
      </c>
      <c r="D5">
        <v>8.3729999999999993</v>
      </c>
      <c r="E5">
        <v>16.73</v>
      </c>
      <c r="F5">
        <v>13.804</v>
      </c>
      <c r="G5">
        <v>3.6030000000000002</v>
      </c>
      <c r="H5">
        <v>6.3E-2</v>
      </c>
      <c r="I5">
        <v>4.7770000000000001</v>
      </c>
      <c r="J5">
        <v>8.1020000000000003</v>
      </c>
      <c r="K5">
        <v>28.805</v>
      </c>
      <c r="L5">
        <v>14.244</v>
      </c>
      <c r="M5">
        <v>5.0570000000000004</v>
      </c>
      <c r="N5">
        <v>7.8E-2</v>
      </c>
      <c r="O5">
        <v>0.68799999999999994</v>
      </c>
      <c r="P5">
        <v>21.960999999999999</v>
      </c>
      <c r="Q5">
        <v>17.864000000000001</v>
      </c>
      <c r="R5">
        <v>21.724</v>
      </c>
      <c r="S5">
        <v>15.672000000000001</v>
      </c>
      <c r="T5">
        <v>7.5999999999999998E-2</v>
      </c>
      <c r="U5">
        <v>0.81899999999999995</v>
      </c>
      <c r="V5">
        <v>5.5830000000000002</v>
      </c>
      <c r="W5">
        <v>15.228</v>
      </c>
      <c r="X5">
        <v>21.983000000000001</v>
      </c>
      <c r="Y5">
        <v>4.1210000000000004</v>
      </c>
      <c r="Z5">
        <v>1.9E-2</v>
      </c>
      <c r="AA5">
        <v>5.3460000000000001</v>
      </c>
      <c r="AB5">
        <v>9.8059999999999992</v>
      </c>
      <c r="AC5">
        <v>20.492999999999999</v>
      </c>
      <c r="AD5">
        <v>33.883000000000003</v>
      </c>
      <c r="AE5">
        <v>6.0039999999999996</v>
      </c>
      <c r="AF5">
        <v>7.3999999999999996E-2</v>
      </c>
      <c r="AG5">
        <v>1.163</v>
      </c>
      <c r="AH5">
        <v>5.181</v>
      </c>
      <c r="AI5">
        <v>23.503</v>
      </c>
      <c r="AJ5">
        <v>19.568000000000001</v>
      </c>
      <c r="AK5">
        <v>6.9790000000000001</v>
      </c>
      <c r="AL5">
        <v>0.19700000000000001</v>
      </c>
      <c r="AM5">
        <v>2.42</v>
      </c>
      <c r="AN5">
        <v>6.5419999999999998</v>
      </c>
      <c r="AO5">
        <v>30.914999999999999</v>
      </c>
      <c r="AP5">
        <v>21.363</v>
      </c>
      <c r="AQ5">
        <v>8.0069999999999997</v>
      </c>
      <c r="AR5">
        <v>5.0999999999999997E-2</v>
      </c>
      <c r="AS5">
        <v>1.1279999999999999</v>
      </c>
      <c r="AT5">
        <v>5.3869999999999996</v>
      </c>
      <c r="AU5">
        <v>13.749000000000001</v>
      </c>
      <c r="AV5">
        <v>22.966999999999999</v>
      </c>
      <c r="AW5">
        <v>4.3840000000000003</v>
      </c>
      <c r="AX5">
        <v>0.14099999999999999</v>
      </c>
      <c r="AY5">
        <v>0.93700000000000006</v>
      </c>
      <c r="AZ5">
        <v>3.0409999999999999</v>
      </c>
      <c r="BA5">
        <v>17.72</v>
      </c>
      <c r="BB5">
        <v>6.3140000000000001</v>
      </c>
      <c r="BC5">
        <v>6.2409999999999997</v>
      </c>
      <c r="BD5">
        <v>1.7999999999999999E-2</v>
      </c>
      <c r="BE5">
        <v>1.9850000000000001</v>
      </c>
      <c r="BF5">
        <v>4.7110000000000003</v>
      </c>
      <c r="BG5">
        <v>6.7779999999999996</v>
      </c>
      <c r="BH5">
        <v>8.2680000000000007</v>
      </c>
      <c r="BI5">
        <v>3.0289999999999999</v>
      </c>
      <c r="BJ5">
        <v>8.2000000000000003E-2</v>
      </c>
      <c r="BK5">
        <v>7.1999999999999995E-2</v>
      </c>
      <c r="BL5">
        <v>1.875</v>
      </c>
      <c r="BM5">
        <v>12.452</v>
      </c>
      <c r="BN5">
        <v>21.207999999999998</v>
      </c>
      <c r="BO5">
        <v>5.57</v>
      </c>
      <c r="BP5">
        <v>0.09</v>
      </c>
      <c r="BQ5">
        <v>2.5640000000000001</v>
      </c>
      <c r="BR5">
        <v>4.3710000000000004</v>
      </c>
      <c r="BS5">
        <v>12.755000000000001</v>
      </c>
      <c r="BT5">
        <v>24.09</v>
      </c>
      <c r="BU5">
        <v>24.478999999999999</v>
      </c>
      <c r="BV5" s="17" t="s">
        <v>147</v>
      </c>
      <c r="BW5" s="28">
        <f t="shared" si="1"/>
        <v>8.2416666666666652E-2</v>
      </c>
      <c r="BX5" s="28">
        <f t="shared" si="2"/>
        <v>1.8815</v>
      </c>
      <c r="BY5" s="28">
        <f t="shared" si="3"/>
        <v>7.0777500000000009</v>
      </c>
      <c r="BZ5" s="28">
        <f t="shared" si="4"/>
        <v>18.082666666666668</v>
      </c>
      <c r="CA5" s="28">
        <f t="shared" si="5"/>
        <v>19.117999999999999</v>
      </c>
      <c r="CB5" s="28">
        <f t="shared" si="6"/>
        <v>7.7621666666666655</v>
      </c>
    </row>
    <row r="6" spans="1:81" x14ac:dyDescent="0.35">
      <c r="A6" s="26" t="s">
        <v>148</v>
      </c>
      <c r="B6">
        <v>0.36</v>
      </c>
      <c r="C6">
        <v>1.6279999999999999</v>
      </c>
      <c r="D6">
        <v>8.8070000000000004</v>
      </c>
      <c r="E6">
        <v>13.073</v>
      </c>
      <c r="F6">
        <v>9.8680000000000003</v>
      </c>
      <c r="G6">
        <v>2.4119999999999999</v>
      </c>
      <c r="H6">
        <v>0.25800000000000001</v>
      </c>
      <c r="I6">
        <v>8.282</v>
      </c>
      <c r="J6">
        <v>4.6829999999999998</v>
      </c>
      <c r="K6">
        <v>16.959</v>
      </c>
      <c r="L6">
        <v>10.638</v>
      </c>
      <c r="M6">
        <v>1.9710000000000001</v>
      </c>
      <c r="N6">
        <v>0.28799999999999998</v>
      </c>
      <c r="O6">
        <v>1.204</v>
      </c>
      <c r="P6">
        <v>20.064</v>
      </c>
      <c r="Q6">
        <v>7.8719999999999999</v>
      </c>
      <c r="R6">
        <v>9.7110000000000003</v>
      </c>
      <c r="S6">
        <v>7.1440000000000001</v>
      </c>
      <c r="T6">
        <v>0.33400000000000002</v>
      </c>
      <c r="U6">
        <v>1.252</v>
      </c>
      <c r="V6">
        <v>5.6420000000000003</v>
      </c>
      <c r="W6">
        <v>5.8339999999999996</v>
      </c>
      <c r="X6">
        <v>14.912000000000001</v>
      </c>
      <c r="Y6">
        <v>1.772</v>
      </c>
      <c r="Z6">
        <v>8.7999999999999995E-2</v>
      </c>
      <c r="AA6">
        <v>8.2379999999999995</v>
      </c>
      <c r="AB6">
        <v>6.69</v>
      </c>
      <c r="AC6">
        <v>18.036000000000001</v>
      </c>
      <c r="AD6">
        <v>17.838999999999999</v>
      </c>
      <c r="AE6">
        <v>2.57</v>
      </c>
      <c r="AF6">
        <v>0.25800000000000001</v>
      </c>
      <c r="AG6">
        <v>1.64</v>
      </c>
      <c r="AH6">
        <v>9.9380000000000006</v>
      </c>
      <c r="AI6">
        <v>12.932</v>
      </c>
      <c r="AJ6">
        <v>7.71</v>
      </c>
      <c r="AK6">
        <v>2.9910000000000001</v>
      </c>
      <c r="AL6">
        <v>0.73499999999999999</v>
      </c>
      <c r="AM6">
        <v>3.6720000000000002</v>
      </c>
      <c r="AN6">
        <v>13.718999999999999</v>
      </c>
      <c r="AO6">
        <v>10.095000000000001</v>
      </c>
      <c r="AP6">
        <v>9.7149999999999999</v>
      </c>
      <c r="AQ6">
        <v>4.3479999999999999</v>
      </c>
      <c r="AR6">
        <v>0.22700000000000001</v>
      </c>
      <c r="AS6">
        <v>2.0699999999999998</v>
      </c>
      <c r="AT6">
        <v>4.1500000000000004</v>
      </c>
      <c r="AU6">
        <v>10.125</v>
      </c>
      <c r="AV6">
        <v>11.753</v>
      </c>
      <c r="AW6">
        <v>3.2890000000000001</v>
      </c>
      <c r="AX6">
        <v>0.59499999999999997</v>
      </c>
      <c r="AY6">
        <v>0.89400000000000002</v>
      </c>
      <c r="AZ6">
        <v>3.64</v>
      </c>
      <c r="BA6">
        <v>10.95</v>
      </c>
      <c r="BB6">
        <v>3.5369999999999999</v>
      </c>
      <c r="BC6">
        <v>3.2770000000000001</v>
      </c>
      <c r="BD6">
        <v>8.4000000000000005E-2</v>
      </c>
      <c r="BE6">
        <v>2.7080000000000002</v>
      </c>
      <c r="BF6">
        <v>3.274</v>
      </c>
      <c r="BG6">
        <v>5.7629999999999999</v>
      </c>
      <c r="BH6">
        <v>6.9470000000000001</v>
      </c>
      <c r="BI6">
        <v>2.5910000000000002</v>
      </c>
      <c r="BJ6">
        <v>0.35099999999999998</v>
      </c>
      <c r="BK6">
        <v>0.123</v>
      </c>
      <c r="BL6">
        <v>3.1349999999999998</v>
      </c>
      <c r="BM6">
        <v>9.0220000000000002</v>
      </c>
      <c r="BN6">
        <v>7.3970000000000002</v>
      </c>
      <c r="BO6">
        <v>2.8450000000000002</v>
      </c>
      <c r="BP6">
        <v>0.36599999999999999</v>
      </c>
      <c r="BQ6">
        <v>2.4750000000000001</v>
      </c>
      <c r="BR6">
        <v>4.5410000000000004</v>
      </c>
      <c r="BS6">
        <v>9.1620000000000008</v>
      </c>
      <c r="BT6">
        <v>9.6890000000000001</v>
      </c>
      <c r="BU6">
        <v>17.137</v>
      </c>
      <c r="BV6" s="17" t="s">
        <v>148</v>
      </c>
      <c r="BW6" s="28">
        <f t="shared" si="1"/>
        <v>0.32866666666666666</v>
      </c>
      <c r="BX6" s="28">
        <f t="shared" si="2"/>
        <v>2.8488333333333333</v>
      </c>
      <c r="BY6" s="28">
        <f t="shared" si="3"/>
        <v>7.3569166666666668</v>
      </c>
      <c r="BZ6" s="28">
        <f t="shared" si="4"/>
        <v>10.818583333333335</v>
      </c>
      <c r="CA6" s="28">
        <f t="shared" si="5"/>
        <v>9.9763333333333328</v>
      </c>
      <c r="CB6" s="28">
        <f t="shared" si="6"/>
        <v>4.3622500000000004</v>
      </c>
    </row>
    <row r="7" spans="1:81" x14ac:dyDescent="0.35">
      <c r="A7" s="26"/>
      <c r="BV7" s="37"/>
      <c r="BW7" s="66" t="s">
        <v>185</v>
      </c>
      <c r="BX7" s="66"/>
      <c r="BY7" s="66"/>
      <c r="BZ7" s="66"/>
      <c r="CA7" s="66"/>
      <c r="CB7" s="66"/>
    </row>
    <row r="8" spans="1:81" x14ac:dyDescent="0.35">
      <c r="A8" s="17" t="s">
        <v>0</v>
      </c>
      <c r="B8" s="9" t="s">
        <v>74</v>
      </c>
      <c r="C8" s="9" t="s">
        <v>75</v>
      </c>
      <c r="D8" s="9" t="s">
        <v>76</v>
      </c>
      <c r="E8" s="9" t="s">
        <v>77</v>
      </c>
      <c r="F8" s="9" t="s">
        <v>78</v>
      </c>
      <c r="G8" s="9" t="s">
        <v>79</v>
      </c>
      <c r="H8" s="9" t="s">
        <v>80</v>
      </c>
      <c r="I8" s="9" t="s">
        <v>81</v>
      </c>
      <c r="J8" s="9" t="s">
        <v>82</v>
      </c>
      <c r="K8" s="9" t="s">
        <v>83</v>
      </c>
      <c r="L8" s="9" t="s">
        <v>84</v>
      </c>
      <c r="M8" s="9" t="s">
        <v>85</v>
      </c>
      <c r="N8" s="9" t="s">
        <v>86</v>
      </c>
      <c r="O8" s="9" t="s">
        <v>87</v>
      </c>
      <c r="P8" s="9" t="s">
        <v>88</v>
      </c>
      <c r="Q8" s="9" t="s">
        <v>89</v>
      </c>
      <c r="R8" s="9" t="s">
        <v>90</v>
      </c>
      <c r="S8" s="9" t="s">
        <v>91</v>
      </c>
      <c r="T8" s="9" t="s">
        <v>92</v>
      </c>
      <c r="U8" s="9" t="s">
        <v>93</v>
      </c>
      <c r="V8" s="9" t="s">
        <v>94</v>
      </c>
      <c r="W8" s="9" t="s">
        <v>95</v>
      </c>
      <c r="X8" s="9" t="s">
        <v>96</v>
      </c>
      <c r="Y8" s="9" t="s">
        <v>97</v>
      </c>
      <c r="Z8" s="9" t="s">
        <v>98</v>
      </c>
      <c r="AA8" s="9" t="s">
        <v>99</v>
      </c>
      <c r="AB8" s="9" t="s">
        <v>100</v>
      </c>
      <c r="AC8" s="9" t="s">
        <v>101</v>
      </c>
      <c r="AD8" s="9" t="s">
        <v>102</v>
      </c>
      <c r="AE8" s="9" t="s">
        <v>103</v>
      </c>
      <c r="AF8" s="9" t="s">
        <v>104</v>
      </c>
      <c r="AG8" s="9" t="s">
        <v>105</v>
      </c>
      <c r="AH8" s="9" t="s">
        <v>106</v>
      </c>
      <c r="AI8" s="9" t="s">
        <v>107</v>
      </c>
      <c r="AJ8" s="9" t="s">
        <v>108</v>
      </c>
      <c r="AK8" s="9" t="s">
        <v>109</v>
      </c>
      <c r="AL8" s="9" t="s">
        <v>110</v>
      </c>
      <c r="AM8" s="9" t="s">
        <v>111</v>
      </c>
      <c r="AN8" s="9" t="s">
        <v>112</v>
      </c>
      <c r="AO8" s="9" t="s">
        <v>113</v>
      </c>
      <c r="AP8" s="9" t="s">
        <v>114</v>
      </c>
      <c r="AQ8" s="9" t="s">
        <v>115</v>
      </c>
      <c r="AR8" s="9" t="s">
        <v>116</v>
      </c>
      <c r="AS8" s="9" t="s">
        <v>117</v>
      </c>
      <c r="AT8" s="9" t="s">
        <v>118</v>
      </c>
      <c r="AU8" s="9" t="s">
        <v>119</v>
      </c>
      <c r="AV8" s="9" t="s">
        <v>120</v>
      </c>
      <c r="AW8" s="9" t="s">
        <v>121</v>
      </c>
      <c r="AX8" s="9" t="s">
        <v>122</v>
      </c>
      <c r="AY8" s="9" t="s">
        <v>123</v>
      </c>
      <c r="AZ8" s="9" t="s">
        <v>124</v>
      </c>
      <c r="BA8" s="9" t="s">
        <v>125</v>
      </c>
      <c r="BB8" s="9" t="s">
        <v>126</v>
      </c>
      <c r="BC8" s="9" t="s">
        <v>127</v>
      </c>
      <c r="BD8" s="9" t="s">
        <v>128</v>
      </c>
      <c r="BE8" s="9" t="s">
        <v>129</v>
      </c>
      <c r="BF8" s="9" t="s">
        <v>130</v>
      </c>
      <c r="BG8" s="9" t="s">
        <v>131</v>
      </c>
      <c r="BH8" s="9" t="s">
        <v>132</v>
      </c>
      <c r="BI8" s="9" t="s">
        <v>133</v>
      </c>
      <c r="BJ8" s="9" t="s">
        <v>134</v>
      </c>
      <c r="BK8" s="9" t="s">
        <v>135</v>
      </c>
      <c r="BL8" s="9" t="s">
        <v>136</v>
      </c>
      <c r="BM8" s="9" t="s">
        <v>137</v>
      </c>
      <c r="BN8" s="9" t="s">
        <v>138</v>
      </c>
      <c r="BO8" s="9" t="s">
        <v>139</v>
      </c>
      <c r="BP8" s="9" t="s">
        <v>140</v>
      </c>
      <c r="BQ8" s="9" t="s">
        <v>141</v>
      </c>
      <c r="BR8" s="9" t="s">
        <v>142</v>
      </c>
      <c r="BS8" s="9" t="s">
        <v>143</v>
      </c>
      <c r="BT8" s="9" t="s">
        <v>144</v>
      </c>
      <c r="BU8" s="9" t="s">
        <v>145</v>
      </c>
      <c r="BV8" s="36" t="s">
        <v>186</v>
      </c>
      <c r="BW8" s="14">
        <v>10</v>
      </c>
      <c r="BX8" s="14">
        <v>11</v>
      </c>
      <c r="BY8" s="14">
        <v>12</v>
      </c>
      <c r="BZ8" s="14">
        <v>1</v>
      </c>
      <c r="CA8" s="14">
        <v>2</v>
      </c>
      <c r="CB8" s="14">
        <v>3</v>
      </c>
    </row>
    <row r="9" spans="1:81" x14ac:dyDescent="0.35">
      <c r="A9" s="17" t="s">
        <v>184</v>
      </c>
      <c r="B9">
        <v>3.1E-2</v>
      </c>
      <c r="C9">
        <v>292.82299999999998</v>
      </c>
      <c r="D9">
        <v>2926.13</v>
      </c>
      <c r="E9">
        <v>13741.03</v>
      </c>
      <c r="F9">
        <v>5737.54</v>
      </c>
      <c r="G9">
        <v>2378.89</v>
      </c>
      <c r="H9">
        <v>0</v>
      </c>
      <c r="I9">
        <v>111.27200000000001</v>
      </c>
      <c r="J9">
        <v>9571.0400000000009</v>
      </c>
      <c r="K9">
        <v>3652.11</v>
      </c>
      <c r="L9">
        <v>2380.7800000000002</v>
      </c>
      <c r="M9">
        <v>1422.53</v>
      </c>
      <c r="N9">
        <v>30.748000000000001</v>
      </c>
      <c r="O9">
        <v>999.85799999999995</v>
      </c>
      <c r="P9">
        <v>2027.74</v>
      </c>
      <c r="Q9">
        <v>7169.01</v>
      </c>
      <c r="R9">
        <v>3423.15</v>
      </c>
      <c r="S9">
        <v>1897.25</v>
      </c>
      <c r="T9">
        <v>0</v>
      </c>
      <c r="U9">
        <v>734.40800000000002</v>
      </c>
      <c r="V9">
        <v>2980.61</v>
      </c>
      <c r="W9">
        <v>8867.5300000000007</v>
      </c>
      <c r="X9">
        <v>4673.49</v>
      </c>
      <c r="Y9">
        <v>1816.94</v>
      </c>
      <c r="Z9">
        <v>0</v>
      </c>
      <c r="AA9">
        <v>125.827</v>
      </c>
      <c r="AB9">
        <v>5411.15</v>
      </c>
      <c r="AC9">
        <v>3788.98</v>
      </c>
      <c r="AD9">
        <v>8899.5499999999993</v>
      </c>
      <c r="AE9">
        <v>2559.65</v>
      </c>
      <c r="AF9">
        <v>0</v>
      </c>
      <c r="AG9">
        <v>344.67899999999997</v>
      </c>
      <c r="AH9">
        <v>2075.42</v>
      </c>
      <c r="AI9">
        <v>3251.94</v>
      </c>
      <c r="AJ9">
        <v>2357.5300000000002</v>
      </c>
      <c r="AK9">
        <v>877.12</v>
      </c>
      <c r="AL9">
        <v>2.274</v>
      </c>
      <c r="AM9">
        <v>344.01600000000002</v>
      </c>
      <c r="AN9">
        <v>3007.08</v>
      </c>
      <c r="AO9">
        <v>9867.42</v>
      </c>
      <c r="AP9">
        <v>4164.53</v>
      </c>
      <c r="AQ9">
        <v>4082.65</v>
      </c>
      <c r="AR9">
        <v>0</v>
      </c>
      <c r="AS9">
        <v>25.219000000000001</v>
      </c>
      <c r="AT9">
        <v>1907.17</v>
      </c>
      <c r="AU9">
        <v>8879.0499999999993</v>
      </c>
      <c r="AV9">
        <v>10190.02</v>
      </c>
      <c r="AW9">
        <v>2578.06</v>
      </c>
      <c r="AX9">
        <v>0</v>
      </c>
      <c r="AY9">
        <v>392.98</v>
      </c>
      <c r="AZ9">
        <v>1685.12</v>
      </c>
      <c r="BA9">
        <v>4510.05</v>
      </c>
      <c r="BB9">
        <v>3791.84</v>
      </c>
      <c r="BC9">
        <v>1463.55</v>
      </c>
      <c r="BD9">
        <v>0</v>
      </c>
      <c r="BE9">
        <v>85.254999999999995</v>
      </c>
      <c r="BF9">
        <v>2658.98</v>
      </c>
      <c r="BG9">
        <v>17550.03</v>
      </c>
      <c r="BH9">
        <v>5349.53</v>
      </c>
      <c r="BI9">
        <v>2630.7</v>
      </c>
      <c r="BJ9">
        <v>0.58699999999999997</v>
      </c>
      <c r="BK9">
        <v>165.87899999999999</v>
      </c>
      <c r="BL9">
        <v>846.40499999999997</v>
      </c>
      <c r="BM9">
        <v>1982.77</v>
      </c>
      <c r="BN9">
        <v>7914.79</v>
      </c>
      <c r="BO9">
        <v>1805.15</v>
      </c>
      <c r="BP9">
        <v>5.0000000000000001E-3</v>
      </c>
      <c r="BQ9">
        <v>509.66500000000002</v>
      </c>
      <c r="BR9">
        <v>1200.8900000000001</v>
      </c>
      <c r="BS9">
        <v>4020.02</v>
      </c>
      <c r="BT9">
        <v>3673.53</v>
      </c>
      <c r="BU9">
        <v>2202.7600000000002</v>
      </c>
      <c r="BV9" s="17" t="s">
        <v>184</v>
      </c>
      <c r="BW9" s="28">
        <f>AVERAGE(BP9,BJ9,BD9,AX9,AR9,AL9,AF9,Z9,T9,N9,H9,B9)</f>
        <v>2.8037500000000004</v>
      </c>
      <c r="BX9" s="28">
        <f>AVERAGE(BQ9,BK9,BE9,AY9,AS9,AM9,AG9,AA9,U9,O9,I9,C9)</f>
        <v>344.32341666666667</v>
      </c>
      <c r="BY9" s="28">
        <f>AVERAGE(BR9,BL9,BF9,AZ9,AT9,AN9,AH9,AB9,V9,P9,J9,D9)</f>
        <v>3024.8112499999993</v>
      </c>
      <c r="BZ9" s="28">
        <f t="shared" ref="BZ9:BZ12" si="7">AVERAGE(BS9,BM9,BG9,BA9,AU9,AO9,AI9,AC9,W9,Q9,K9,E9)</f>
        <v>7273.3283333333338</v>
      </c>
      <c r="CA9" s="28">
        <f t="shared" ref="CA9:CA12" si="8">AVERAGE(BT9,BN9,BH9,BB9,AV9,AP9,AJ9,AD9,X9,R9,L9,F9)</f>
        <v>5213.0233333333326</v>
      </c>
      <c r="CB9" s="28">
        <f t="shared" ref="CB9:CB12" si="9">AVERAGE(BU9,BO9,BI9,BC9,AW9,AQ9,AK9,AE9,Y9,S9,M9,G9)</f>
        <v>2142.9375</v>
      </c>
    </row>
    <row r="10" spans="1:81" x14ac:dyDescent="0.35">
      <c r="A10" s="17" t="s">
        <v>146</v>
      </c>
      <c r="B10">
        <v>3418.0889999999999</v>
      </c>
      <c r="C10">
        <v>2765.1469999999999</v>
      </c>
      <c r="D10">
        <v>1980.1849999999999</v>
      </c>
      <c r="E10">
        <v>1367.596</v>
      </c>
      <c r="F10">
        <v>1752.8869999999999</v>
      </c>
      <c r="G10">
        <v>2068.9940000000001</v>
      </c>
      <c r="I10">
        <v>2911.03</v>
      </c>
      <c r="J10">
        <v>1502.877</v>
      </c>
      <c r="K10">
        <v>1894.444</v>
      </c>
      <c r="L10">
        <v>2074.52</v>
      </c>
      <c r="M10">
        <v>2288.4920000000002</v>
      </c>
      <c r="N10">
        <v>3079.808</v>
      </c>
      <c r="O10">
        <v>2410.3130000000001</v>
      </c>
      <c r="P10">
        <v>2152.7800000000002</v>
      </c>
      <c r="Q10">
        <v>1661.441</v>
      </c>
      <c r="R10">
        <v>1943.633</v>
      </c>
      <c r="S10">
        <v>2176.9180000000001</v>
      </c>
      <c r="U10">
        <v>2525.2710000000002</v>
      </c>
      <c r="V10">
        <v>1974.672</v>
      </c>
      <c r="W10">
        <v>1569.2639999999999</v>
      </c>
      <c r="X10">
        <v>1825.241</v>
      </c>
      <c r="Y10">
        <v>2184.134</v>
      </c>
      <c r="AA10">
        <v>2865.2919999999999</v>
      </c>
      <c r="AB10">
        <v>1745.203</v>
      </c>
      <c r="AC10">
        <v>1871.3109999999999</v>
      </c>
      <c r="AD10">
        <v>1587.59</v>
      </c>
      <c r="AE10">
        <v>2045.498</v>
      </c>
      <c r="AG10">
        <v>2584.3580000000002</v>
      </c>
      <c r="AH10">
        <v>2100.7150000000001</v>
      </c>
      <c r="AI10">
        <v>1987.018</v>
      </c>
      <c r="AJ10">
        <v>2090.9119999999998</v>
      </c>
      <c r="AK10">
        <v>2468.8850000000002</v>
      </c>
      <c r="AL10">
        <v>3198.0830000000001</v>
      </c>
      <c r="AM10">
        <v>2725.2040000000002</v>
      </c>
      <c r="AN10">
        <v>1996.933</v>
      </c>
      <c r="AO10">
        <v>1539.8989999999999</v>
      </c>
      <c r="AP10">
        <v>1887.41</v>
      </c>
      <c r="AQ10">
        <v>1907.86</v>
      </c>
      <c r="AS10">
        <v>3070.0189999999998</v>
      </c>
      <c r="AT10">
        <v>2172.8180000000002</v>
      </c>
      <c r="AU10">
        <v>1566.1310000000001</v>
      </c>
      <c r="AV10">
        <v>1510.423</v>
      </c>
      <c r="AW10">
        <v>2053.25</v>
      </c>
      <c r="AY10">
        <v>2682.9110000000001</v>
      </c>
      <c r="AZ10">
        <v>2200.7759999999998</v>
      </c>
      <c r="BA10">
        <v>1799.2260000000001</v>
      </c>
      <c r="BB10">
        <v>1894.857</v>
      </c>
      <c r="BC10">
        <v>2263.424</v>
      </c>
      <c r="BE10">
        <v>2805.7530000000002</v>
      </c>
      <c r="BF10">
        <v>2020.84</v>
      </c>
      <c r="BG10">
        <v>1280.424</v>
      </c>
      <c r="BH10">
        <v>1780.5160000000001</v>
      </c>
      <c r="BI10">
        <v>2046.7550000000001</v>
      </c>
      <c r="BJ10">
        <v>3350.8130000000001</v>
      </c>
      <c r="BK10">
        <v>2874.38</v>
      </c>
      <c r="BL10">
        <v>2456.9490000000001</v>
      </c>
      <c r="BM10">
        <v>2127.8629999999998</v>
      </c>
      <c r="BN10">
        <v>1634.1880000000001</v>
      </c>
      <c r="BO10">
        <v>2164.279</v>
      </c>
      <c r="BQ10">
        <v>2506.98</v>
      </c>
      <c r="BR10">
        <v>2323.1790000000001</v>
      </c>
      <c r="BS10">
        <v>1847.479</v>
      </c>
      <c r="BT10">
        <v>1929.895</v>
      </c>
      <c r="BU10">
        <v>2124.1550000000002</v>
      </c>
      <c r="BV10" s="17" t="s">
        <v>146</v>
      </c>
      <c r="BW10" s="28">
        <f t="shared" ref="BW10:BW12" si="10">AVERAGE(BP10,BJ10,BD10,AX10,AR10,AL10,AF10,Z10,T10,N10,H10,B10)</f>
        <v>3261.6982500000004</v>
      </c>
      <c r="BX10" s="28">
        <f t="shared" ref="BX10:BX12" si="11">AVERAGE(BQ10,BK10,BE10,AY10,AS10,AM10,AG10,AA10,U10,O10,I10,C10)</f>
        <v>2727.2215000000006</v>
      </c>
      <c r="BY10" s="28">
        <f t="shared" ref="BY10:BY12" si="12">AVERAGE(BR10,BL10,BF10,AZ10,AT10,AN10,AH10,AB10,V10,P10,J10,D10)</f>
        <v>2052.3272500000003</v>
      </c>
      <c r="BZ10" s="28">
        <f t="shared" si="7"/>
        <v>1709.3413333333331</v>
      </c>
      <c r="CA10" s="28">
        <f t="shared" si="8"/>
        <v>1826.0060000000001</v>
      </c>
      <c r="CB10" s="28">
        <f t="shared" si="9"/>
        <v>2149.3870000000006</v>
      </c>
    </row>
    <row r="11" spans="1:81" x14ac:dyDescent="0.35">
      <c r="A11" s="17" t="s">
        <v>147</v>
      </c>
      <c r="B11">
        <v>8.4000000000000005E-2</v>
      </c>
      <c r="C11">
        <v>0.65900000000000003</v>
      </c>
      <c r="D11">
        <v>6.29</v>
      </c>
      <c r="E11">
        <v>26.079000000000001</v>
      </c>
      <c r="F11">
        <v>14.43</v>
      </c>
      <c r="G11">
        <v>5.7779999999999996</v>
      </c>
      <c r="H11">
        <v>0.04</v>
      </c>
      <c r="I11">
        <v>0.45100000000000001</v>
      </c>
      <c r="J11">
        <v>18.344999999999999</v>
      </c>
      <c r="K11">
        <v>8.3659999999999997</v>
      </c>
      <c r="L11">
        <v>6.0270000000000001</v>
      </c>
      <c r="M11">
        <v>3.5539999999999998</v>
      </c>
      <c r="N11">
        <v>0.13500000000000001</v>
      </c>
      <c r="O11">
        <v>3.4220000000000002</v>
      </c>
      <c r="P11">
        <v>5.1849999999999996</v>
      </c>
      <c r="Q11">
        <v>17.091000000000001</v>
      </c>
      <c r="R11">
        <v>9.1020000000000003</v>
      </c>
      <c r="S11">
        <v>4.58</v>
      </c>
      <c r="T11">
        <v>9.5000000000000001E-2</v>
      </c>
      <c r="U11">
        <v>1.7589999999999999</v>
      </c>
      <c r="V11">
        <v>7.8360000000000003</v>
      </c>
      <c r="W11">
        <v>22.222999999999999</v>
      </c>
      <c r="X11">
        <v>11.407999999999999</v>
      </c>
      <c r="Y11">
        <v>4.4130000000000003</v>
      </c>
      <c r="Z11">
        <v>4.4999999999999998E-2</v>
      </c>
      <c r="AA11">
        <v>0.31</v>
      </c>
      <c r="AB11">
        <v>11.438000000000001</v>
      </c>
      <c r="AC11">
        <v>10.069000000000001</v>
      </c>
      <c r="AD11">
        <v>20.545000000000002</v>
      </c>
      <c r="AE11">
        <v>6.2560000000000002</v>
      </c>
      <c r="AF11">
        <v>1.2999999999999999E-2</v>
      </c>
      <c r="AG11">
        <v>1.226</v>
      </c>
      <c r="AH11">
        <v>4.9800000000000004</v>
      </c>
      <c r="AI11">
        <v>7.6950000000000003</v>
      </c>
      <c r="AJ11">
        <v>5.6219999999999999</v>
      </c>
      <c r="AK11">
        <v>2.1819999999999999</v>
      </c>
      <c r="AL11">
        <v>9.1999999999999998E-2</v>
      </c>
      <c r="AM11">
        <v>1.1379999999999999</v>
      </c>
      <c r="AN11">
        <v>7.7789999999999999</v>
      </c>
      <c r="AO11">
        <v>22.844999999999999</v>
      </c>
      <c r="AP11">
        <v>10.645</v>
      </c>
      <c r="AQ11">
        <v>10.593</v>
      </c>
      <c r="AR11">
        <v>4.9000000000000002E-2</v>
      </c>
      <c r="AS11">
        <v>0.159</v>
      </c>
      <c r="AT11">
        <v>5.0739999999999998</v>
      </c>
      <c r="AU11">
        <v>20.710999999999999</v>
      </c>
      <c r="AV11">
        <v>22.742000000000001</v>
      </c>
      <c r="AW11">
        <v>6.3979999999999997</v>
      </c>
      <c r="AX11">
        <v>1.0999999999999999E-2</v>
      </c>
      <c r="AY11">
        <v>1.244</v>
      </c>
      <c r="AZ11">
        <v>4.4649999999999999</v>
      </c>
      <c r="BA11">
        <v>9.1579999999999995</v>
      </c>
      <c r="BB11">
        <v>9.2260000000000009</v>
      </c>
      <c r="BC11">
        <v>3.7240000000000002</v>
      </c>
      <c r="BD11">
        <v>4.9000000000000002E-2</v>
      </c>
      <c r="BE11">
        <v>0.30299999999999999</v>
      </c>
      <c r="BF11">
        <v>6.1070000000000002</v>
      </c>
      <c r="BG11">
        <v>30.006</v>
      </c>
      <c r="BH11">
        <v>12.422000000000001</v>
      </c>
      <c r="BI11">
        <v>6.53</v>
      </c>
      <c r="BJ11">
        <v>8.8999999999999996E-2</v>
      </c>
      <c r="BK11">
        <v>0.55900000000000005</v>
      </c>
      <c r="BL11">
        <v>2.4209999999999998</v>
      </c>
      <c r="BM11">
        <v>4.952</v>
      </c>
      <c r="BN11">
        <v>18.733000000000001</v>
      </c>
      <c r="BO11">
        <v>4.2439999999999998</v>
      </c>
      <c r="BP11">
        <v>0.108</v>
      </c>
      <c r="BQ11">
        <v>1.5760000000000001</v>
      </c>
      <c r="BR11">
        <v>3.1059999999999999</v>
      </c>
      <c r="BS11">
        <v>9.2680000000000007</v>
      </c>
      <c r="BT11">
        <v>9.6509999999999998</v>
      </c>
      <c r="BU11">
        <v>5.81</v>
      </c>
      <c r="BV11" s="17" t="s">
        <v>147</v>
      </c>
      <c r="BW11" s="28">
        <f t="shared" si="10"/>
        <v>6.7500000000000004E-2</v>
      </c>
      <c r="BX11" s="28">
        <f t="shared" si="11"/>
        <v>1.0671666666666668</v>
      </c>
      <c r="BY11" s="28">
        <f t="shared" si="12"/>
        <v>6.9188333333333345</v>
      </c>
      <c r="BZ11" s="28">
        <f t="shared" si="7"/>
        <v>15.705250000000001</v>
      </c>
      <c r="CA11" s="28">
        <f t="shared" si="8"/>
        <v>12.546083333333334</v>
      </c>
      <c r="CB11" s="28">
        <f t="shared" si="9"/>
        <v>5.3385000000000007</v>
      </c>
    </row>
    <row r="12" spans="1:81" x14ac:dyDescent="0.35">
      <c r="A12" s="17" t="s">
        <v>148</v>
      </c>
      <c r="B12">
        <v>0.317</v>
      </c>
      <c r="C12">
        <v>1.046</v>
      </c>
      <c r="D12">
        <v>5.1269999999999998</v>
      </c>
      <c r="E12">
        <v>19.146999999999998</v>
      </c>
      <c r="F12">
        <v>7.2240000000000002</v>
      </c>
      <c r="G12">
        <v>2.61</v>
      </c>
      <c r="H12">
        <v>0.14299999999999999</v>
      </c>
      <c r="I12">
        <v>1.0820000000000001</v>
      </c>
      <c r="J12">
        <v>13.691000000000001</v>
      </c>
      <c r="K12">
        <v>3.8039999999999998</v>
      </c>
      <c r="L12">
        <v>3.581</v>
      </c>
      <c r="M12">
        <v>2.1459999999999999</v>
      </c>
      <c r="N12">
        <v>0.35499999999999998</v>
      </c>
      <c r="O12">
        <v>4.7060000000000004</v>
      </c>
      <c r="P12">
        <v>3.47</v>
      </c>
      <c r="Q12">
        <v>13.67</v>
      </c>
      <c r="R12">
        <v>7.5720000000000001</v>
      </c>
      <c r="S12">
        <v>2.34</v>
      </c>
      <c r="T12">
        <v>0.373</v>
      </c>
      <c r="U12">
        <v>1.7090000000000001</v>
      </c>
      <c r="V12">
        <v>7.7560000000000002</v>
      </c>
      <c r="W12">
        <v>9.7080000000000002</v>
      </c>
      <c r="X12">
        <v>4.49</v>
      </c>
      <c r="Y12">
        <v>2.198</v>
      </c>
      <c r="Z12">
        <v>0.217</v>
      </c>
      <c r="AA12">
        <v>0.42499999999999999</v>
      </c>
      <c r="AB12">
        <v>12.036</v>
      </c>
      <c r="AC12">
        <v>7.4450000000000003</v>
      </c>
      <c r="AD12">
        <v>11.04</v>
      </c>
      <c r="AE12">
        <v>3.0550000000000002</v>
      </c>
      <c r="AF12">
        <v>6.6000000000000003E-2</v>
      </c>
      <c r="AG12">
        <v>2.3839999999999999</v>
      </c>
      <c r="AH12">
        <v>5.2969999999999997</v>
      </c>
      <c r="AI12">
        <v>5.141</v>
      </c>
      <c r="AJ12">
        <v>2.258</v>
      </c>
      <c r="AK12">
        <v>1.2450000000000001</v>
      </c>
      <c r="AL12">
        <v>0.29199999999999998</v>
      </c>
      <c r="AM12">
        <v>1.8580000000000001</v>
      </c>
      <c r="AN12">
        <v>5.657</v>
      </c>
      <c r="AO12">
        <v>11.252000000000001</v>
      </c>
      <c r="AP12">
        <v>3.6019999999999999</v>
      </c>
      <c r="AQ12">
        <v>3.2869999999999999</v>
      </c>
      <c r="AR12">
        <v>0.21099999999999999</v>
      </c>
      <c r="AS12">
        <v>0.496</v>
      </c>
      <c r="AT12">
        <v>4.2510000000000003</v>
      </c>
      <c r="AU12">
        <v>11.057</v>
      </c>
      <c r="AV12">
        <v>15.77</v>
      </c>
      <c r="AW12">
        <v>2.6139999999999999</v>
      </c>
      <c r="AX12">
        <v>5.2999999999999999E-2</v>
      </c>
      <c r="AY12">
        <v>2.2170000000000001</v>
      </c>
      <c r="AZ12">
        <v>4.0410000000000004</v>
      </c>
      <c r="BA12">
        <v>10.163</v>
      </c>
      <c r="BB12">
        <v>5.1310000000000002</v>
      </c>
      <c r="BC12">
        <v>1.89</v>
      </c>
      <c r="BD12">
        <v>0.22700000000000001</v>
      </c>
      <c r="BE12">
        <v>0.64300000000000002</v>
      </c>
      <c r="BF12">
        <v>6.7460000000000004</v>
      </c>
      <c r="BG12">
        <v>26.49</v>
      </c>
      <c r="BH12">
        <v>8.0890000000000004</v>
      </c>
      <c r="BI12">
        <v>2.1339999999999999</v>
      </c>
      <c r="BJ12">
        <v>0.307</v>
      </c>
      <c r="BK12">
        <v>1.258</v>
      </c>
      <c r="BL12">
        <v>1.873</v>
      </c>
      <c r="BM12">
        <v>4.28</v>
      </c>
      <c r="BN12">
        <v>9.5109999999999992</v>
      </c>
      <c r="BO12">
        <v>2.7869999999999999</v>
      </c>
      <c r="BP12">
        <v>0.442</v>
      </c>
      <c r="BQ12">
        <v>3.222</v>
      </c>
      <c r="BR12">
        <v>2.863</v>
      </c>
      <c r="BS12">
        <v>5.95</v>
      </c>
      <c r="BT12">
        <v>4.7770000000000001</v>
      </c>
      <c r="BU12">
        <v>2.2669999999999999</v>
      </c>
      <c r="BV12" s="17" t="s">
        <v>148</v>
      </c>
      <c r="BW12" s="28">
        <f t="shared" si="10"/>
        <v>0.25025000000000003</v>
      </c>
      <c r="BX12" s="28">
        <f t="shared" si="11"/>
        <v>1.7538333333333336</v>
      </c>
      <c r="BY12" s="28">
        <f t="shared" si="12"/>
        <v>6.067333333333333</v>
      </c>
      <c r="BZ12" s="28">
        <f t="shared" si="7"/>
        <v>10.675583333333334</v>
      </c>
      <c r="CA12" s="28">
        <f t="shared" si="8"/>
        <v>6.920416666666668</v>
      </c>
      <c r="CB12" s="28">
        <f t="shared" si="9"/>
        <v>2.3810833333333332</v>
      </c>
    </row>
    <row r="16" spans="1:81" ht="15.5" x14ac:dyDescent="0.35">
      <c r="J16" s="73" t="s">
        <v>198</v>
      </c>
      <c r="K16" s="73"/>
      <c r="L16" s="73"/>
      <c r="M16" s="73"/>
      <c r="N16" s="73"/>
      <c r="O16" s="73"/>
    </row>
    <row r="17" spans="1:15" x14ac:dyDescent="0.35">
      <c r="A17" s="11"/>
      <c r="B17" s="67" t="s">
        <v>183</v>
      </c>
      <c r="C17" s="68"/>
      <c r="D17" s="68"/>
      <c r="E17" s="68"/>
      <c r="F17" s="68"/>
      <c r="G17" s="69"/>
      <c r="J17" s="74" t="s">
        <v>236</v>
      </c>
      <c r="K17" s="74"/>
      <c r="L17" s="74"/>
      <c r="M17" s="74"/>
      <c r="N17" s="74"/>
      <c r="O17" s="74"/>
    </row>
    <row r="18" spans="1:15" x14ac:dyDescent="0.35">
      <c r="A18" s="12" t="s">
        <v>186</v>
      </c>
      <c r="B18" s="5" t="s">
        <v>188</v>
      </c>
      <c r="C18" s="5" t="s">
        <v>189</v>
      </c>
      <c r="D18" s="5" t="s">
        <v>190</v>
      </c>
      <c r="E18" s="5" t="s">
        <v>191</v>
      </c>
      <c r="F18" s="5" t="s">
        <v>192</v>
      </c>
      <c r="G18" s="5" t="s">
        <v>193</v>
      </c>
      <c r="H18" s="6" t="s">
        <v>187</v>
      </c>
      <c r="I18" s="12" t="s">
        <v>186</v>
      </c>
      <c r="J18" s="5" t="s">
        <v>188</v>
      </c>
      <c r="K18" s="5" t="s">
        <v>189</v>
      </c>
      <c r="L18" s="5" t="s">
        <v>190</v>
      </c>
      <c r="M18" s="5" t="s">
        <v>191</v>
      </c>
      <c r="N18" s="5" t="s">
        <v>192</v>
      </c>
      <c r="O18" s="5" t="s">
        <v>193</v>
      </c>
    </row>
    <row r="19" spans="1:15" x14ac:dyDescent="0.35">
      <c r="A19" s="12" t="s">
        <v>1</v>
      </c>
      <c r="B19" s="13">
        <v>0.74016666666666664</v>
      </c>
      <c r="C19" s="13">
        <v>752.39499999999998</v>
      </c>
      <c r="D19" s="13">
        <v>3052.2453333333328</v>
      </c>
      <c r="E19" s="13">
        <v>7883.278416666667</v>
      </c>
      <c r="F19" s="13">
        <v>8184.4632500000007</v>
      </c>
      <c r="G19" s="13">
        <v>3226.2666666666669</v>
      </c>
      <c r="H19" s="8">
        <f>AVERAGE(B19:G19)</f>
        <v>3849.8981388888892</v>
      </c>
      <c r="I19" s="12" t="s">
        <v>1</v>
      </c>
      <c r="J19" s="13">
        <f>B25-B19</f>
        <v>2.0635833333333338</v>
      </c>
      <c r="K19" s="13">
        <f t="shared" ref="K19:O22" si="13">C25-C19</f>
        <v>-408.07158333333331</v>
      </c>
      <c r="L19" s="13">
        <f t="shared" si="13"/>
        <v>-27.434083333333547</v>
      </c>
      <c r="M19" s="13">
        <f t="shared" si="13"/>
        <v>-609.95008333333317</v>
      </c>
      <c r="N19" s="13">
        <f t="shared" si="13"/>
        <v>-2971.4399166666681</v>
      </c>
      <c r="O19" s="13">
        <f t="shared" si="13"/>
        <v>-1083.3291666666669</v>
      </c>
    </row>
    <row r="20" spans="1:15" x14ac:dyDescent="0.35">
      <c r="A20" s="12" t="s">
        <v>146</v>
      </c>
      <c r="B20" s="13">
        <v>2861.5873333333329</v>
      </c>
      <c r="C20" s="13">
        <v>2553.67</v>
      </c>
      <c r="D20" s="13">
        <v>2056.7636666666667</v>
      </c>
      <c r="E20" s="13">
        <v>1633.9451666666664</v>
      </c>
      <c r="F20" s="13">
        <v>1640.3355833333335</v>
      </c>
      <c r="G20" s="13">
        <v>2042.0554166666664</v>
      </c>
      <c r="H20" s="8">
        <f t="shared" ref="H20:H28" si="14">AVERAGE(B20:G20)</f>
        <v>2131.392861111111</v>
      </c>
      <c r="I20" s="12" t="s">
        <v>146</v>
      </c>
      <c r="J20" s="13">
        <f t="shared" ref="J20:J22" si="15">B26-B20</f>
        <v>400.11091666666744</v>
      </c>
      <c r="K20" s="13">
        <f t="shared" si="13"/>
        <v>173.55150000000049</v>
      </c>
      <c r="L20" s="13">
        <f t="shared" si="13"/>
        <v>-4.436416666666446</v>
      </c>
      <c r="M20" s="13">
        <f t="shared" si="13"/>
        <v>75.396166666666659</v>
      </c>
      <c r="N20" s="13">
        <f t="shared" si="13"/>
        <v>185.6704166666666</v>
      </c>
      <c r="O20" s="13">
        <f t="shared" si="13"/>
        <v>107.33158333333427</v>
      </c>
    </row>
    <row r="21" spans="1:15" x14ac:dyDescent="0.35">
      <c r="A21" s="12" t="s">
        <v>147</v>
      </c>
      <c r="B21" s="13">
        <v>8.2416666666666652E-2</v>
      </c>
      <c r="C21" s="13">
        <v>1.8815</v>
      </c>
      <c r="D21" s="13">
        <v>7.0777500000000009</v>
      </c>
      <c r="E21" s="13">
        <v>18.082666666666668</v>
      </c>
      <c r="F21" s="13">
        <v>19.117999999999999</v>
      </c>
      <c r="G21" s="13">
        <v>7.7621666666666655</v>
      </c>
      <c r="H21" s="8">
        <f t="shared" si="14"/>
        <v>9.00075</v>
      </c>
      <c r="I21" s="12" t="s">
        <v>147</v>
      </c>
      <c r="J21" s="13">
        <f t="shared" si="15"/>
        <v>-1.4916666666666648E-2</v>
      </c>
      <c r="K21" s="13">
        <f t="shared" si="13"/>
        <v>-0.81433333333333313</v>
      </c>
      <c r="L21" s="13">
        <f t="shared" si="13"/>
        <v>-0.15891666666666637</v>
      </c>
      <c r="M21" s="13">
        <f t="shared" si="13"/>
        <v>-2.377416666666667</v>
      </c>
      <c r="N21" s="13">
        <f t="shared" si="13"/>
        <v>-6.5719166666666649</v>
      </c>
      <c r="O21" s="13">
        <f t="shared" si="13"/>
        <v>-2.4236666666666649</v>
      </c>
    </row>
    <row r="22" spans="1:15" x14ac:dyDescent="0.35">
      <c r="A22" s="12" t="s">
        <v>148</v>
      </c>
      <c r="B22" s="13">
        <v>0.32866666666666666</v>
      </c>
      <c r="C22" s="13">
        <v>2.8488333333333333</v>
      </c>
      <c r="D22" s="13">
        <v>7.3569166666666668</v>
      </c>
      <c r="E22" s="13">
        <v>10.818583333333335</v>
      </c>
      <c r="F22" s="13">
        <v>9.9763333333333328</v>
      </c>
      <c r="G22" s="13">
        <v>4.3622500000000004</v>
      </c>
      <c r="H22" s="8">
        <f t="shared" si="14"/>
        <v>5.9485972222222223</v>
      </c>
      <c r="I22" s="12" t="s">
        <v>148</v>
      </c>
      <c r="J22" s="13">
        <f t="shared" si="15"/>
        <v>-7.8416666666666635E-2</v>
      </c>
      <c r="K22" s="13">
        <f t="shared" si="13"/>
        <v>-1.0949999999999998</v>
      </c>
      <c r="L22" s="13">
        <f t="shared" si="13"/>
        <v>-1.2895833333333337</v>
      </c>
      <c r="M22" s="13">
        <f t="shared" si="13"/>
        <v>-0.14300000000000068</v>
      </c>
      <c r="N22" s="13">
        <f t="shared" si="13"/>
        <v>-3.0559166666666648</v>
      </c>
      <c r="O22" s="13">
        <f t="shared" si="13"/>
        <v>-1.9811666666666672</v>
      </c>
    </row>
    <row r="23" spans="1:15" ht="15.5" x14ac:dyDescent="0.35">
      <c r="A23" s="12"/>
      <c r="B23" s="67" t="s">
        <v>185</v>
      </c>
      <c r="C23" s="68"/>
      <c r="D23" s="68"/>
      <c r="E23" s="68"/>
      <c r="F23" s="68"/>
      <c r="G23" s="69"/>
      <c r="H23" s="8"/>
      <c r="I23" s="12"/>
      <c r="J23" s="70" t="s">
        <v>199</v>
      </c>
      <c r="K23" s="71"/>
      <c r="L23" s="71"/>
      <c r="M23" s="71"/>
      <c r="N23" s="71"/>
      <c r="O23" s="72"/>
    </row>
    <row r="24" spans="1:15" x14ac:dyDescent="0.35">
      <c r="A24" s="12" t="s">
        <v>186</v>
      </c>
      <c r="B24" s="5" t="s">
        <v>188</v>
      </c>
      <c r="C24" s="5" t="s">
        <v>189</v>
      </c>
      <c r="D24" s="5" t="s">
        <v>190</v>
      </c>
      <c r="E24" s="5" t="s">
        <v>191</v>
      </c>
      <c r="F24" s="5" t="s">
        <v>192</v>
      </c>
      <c r="G24" s="5" t="s">
        <v>193</v>
      </c>
      <c r="H24" s="8"/>
      <c r="I24" s="12" t="s">
        <v>186</v>
      </c>
      <c r="J24" s="5" t="s">
        <v>188</v>
      </c>
      <c r="K24" s="5" t="s">
        <v>189</v>
      </c>
      <c r="L24" s="5" t="s">
        <v>190</v>
      </c>
      <c r="M24" s="5" t="s">
        <v>191</v>
      </c>
      <c r="N24" s="5" t="s">
        <v>192</v>
      </c>
      <c r="O24" s="5" t="s">
        <v>193</v>
      </c>
    </row>
    <row r="25" spans="1:15" x14ac:dyDescent="0.35">
      <c r="A25" s="12" t="s">
        <v>184</v>
      </c>
      <c r="B25" s="13">
        <v>2.8037500000000004</v>
      </c>
      <c r="C25" s="13">
        <v>344.32341666666667</v>
      </c>
      <c r="D25" s="13">
        <v>3024.8112499999993</v>
      </c>
      <c r="E25" s="13">
        <v>7273.3283333333338</v>
      </c>
      <c r="F25" s="13">
        <v>5213.0233333333326</v>
      </c>
      <c r="G25" s="13">
        <v>2142.9375</v>
      </c>
      <c r="H25" s="8">
        <f t="shared" si="14"/>
        <v>3000.2045972222222</v>
      </c>
      <c r="I25" s="12" t="s">
        <v>184</v>
      </c>
      <c r="J25" s="13">
        <f>(J19/B19)*100</f>
        <v>278.79981986039184</v>
      </c>
      <c r="K25" s="13">
        <f t="shared" ref="K25:O28" si="16">(K19/C19)*100</f>
        <v>-54.236349701065713</v>
      </c>
      <c r="L25" s="13">
        <f t="shared" si="16"/>
        <v>-0.89881645599480708</v>
      </c>
      <c r="M25" s="13">
        <f t="shared" si="16"/>
        <v>-7.7372642585322007</v>
      </c>
      <c r="N25" s="13">
        <f t="shared" si="16"/>
        <v>-36.305861800609442</v>
      </c>
      <c r="O25" s="13">
        <f t="shared" si="16"/>
        <v>-33.578413646319795</v>
      </c>
    </row>
    <row r="26" spans="1:15" x14ac:dyDescent="0.35">
      <c r="A26" s="12" t="s">
        <v>146</v>
      </c>
      <c r="B26" s="13">
        <v>3261.6982500000004</v>
      </c>
      <c r="C26" s="13">
        <v>2727.2215000000006</v>
      </c>
      <c r="D26" s="13">
        <v>2052.3272500000003</v>
      </c>
      <c r="E26" s="13">
        <v>1709.3413333333331</v>
      </c>
      <c r="F26" s="13">
        <v>1826.0060000000001</v>
      </c>
      <c r="G26" s="13">
        <v>2149.3870000000006</v>
      </c>
      <c r="H26" s="8">
        <f t="shared" si="14"/>
        <v>2287.6635555555558</v>
      </c>
      <c r="I26" s="12" t="s">
        <v>146</v>
      </c>
      <c r="J26" s="13">
        <f t="shared" ref="J26:J28" si="17">(J20/B20)*100</f>
        <v>13.982131944950863</v>
      </c>
      <c r="K26" s="13">
        <f t="shared" si="16"/>
        <v>6.7961600363398755</v>
      </c>
      <c r="L26" s="13">
        <f t="shared" si="16"/>
        <v>-0.21569890301769132</v>
      </c>
      <c r="M26" s="13">
        <f t="shared" si="16"/>
        <v>4.6143633338980878</v>
      </c>
      <c r="N26" s="13">
        <f t="shared" si="16"/>
        <v>11.319050720668077</v>
      </c>
      <c r="O26" s="13">
        <f t="shared" si="16"/>
        <v>5.2560563468221719</v>
      </c>
    </row>
    <row r="27" spans="1:15" x14ac:dyDescent="0.35">
      <c r="A27" s="12" t="s">
        <v>147</v>
      </c>
      <c r="B27" s="13">
        <v>6.7500000000000004E-2</v>
      </c>
      <c r="C27" s="13">
        <v>1.0671666666666668</v>
      </c>
      <c r="D27" s="13">
        <v>6.9188333333333345</v>
      </c>
      <c r="E27" s="13">
        <v>15.705250000000001</v>
      </c>
      <c r="F27" s="13">
        <v>12.546083333333334</v>
      </c>
      <c r="G27" s="13">
        <v>5.3385000000000007</v>
      </c>
      <c r="H27" s="8">
        <f t="shared" si="14"/>
        <v>6.940555555555556</v>
      </c>
      <c r="I27" s="12" t="s">
        <v>147</v>
      </c>
      <c r="J27" s="13">
        <f t="shared" si="17"/>
        <v>-18.099089989888757</v>
      </c>
      <c r="K27" s="13">
        <f t="shared" si="16"/>
        <v>-43.281070068207981</v>
      </c>
      <c r="L27" s="13">
        <f t="shared" si="16"/>
        <v>-2.2452992358682682</v>
      </c>
      <c r="M27" s="13">
        <f t="shared" si="16"/>
        <v>-13.147489308361598</v>
      </c>
      <c r="N27" s="13">
        <f t="shared" si="16"/>
        <v>-34.375544861735882</v>
      </c>
      <c r="O27" s="13">
        <f t="shared" si="16"/>
        <v>-31.224099800313464</v>
      </c>
    </row>
    <row r="28" spans="1:15" x14ac:dyDescent="0.35">
      <c r="A28" s="12" t="s">
        <v>148</v>
      </c>
      <c r="B28" s="13">
        <v>0.25025000000000003</v>
      </c>
      <c r="C28" s="13">
        <v>1.7538333333333336</v>
      </c>
      <c r="D28" s="13">
        <v>6.067333333333333</v>
      </c>
      <c r="E28" s="13">
        <v>10.675583333333334</v>
      </c>
      <c r="F28" s="13">
        <v>6.920416666666668</v>
      </c>
      <c r="G28" s="13">
        <v>2.3810833333333332</v>
      </c>
      <c r="H28" s="8">
        <f t="shared" si="14"/>
        <v>4.6747500000000004</v>
      </c>
      <c r="I28" s="12" t="s">
        <v>148</v>
      </c>
      <c r="J28" s="13">
        <f t="shared" si="17"/>
        <v>-23.859026369168348</v>
      </c>
      <c r="K28" s="13">
        <f t="shared" si="16"/>
        <v>-38.43678698882583</v>
      </c>
      <c r="L28" s="13">
        <f t="shared" si="16"/>
        <v>-17.528856065154113</v>
      </c>
      <c r="M28" s="13">
        <f t="shared" si="16"/>
        <v>-1.3217996811042789</v>
      </c>
      <c r="N28" s="13">
        <f t="shared" si="16"/>
        <v>-30.631661599117894</v>
      </c>
      <c r="O28" s="13">
        <f t="shared" si="16"/>
        <v>-45.416165205264875</v>
      </c>
    </row>
  </sheetData>
  <mergeCells count="7">
    <mergeCell ref="BW1:CB1"/>
    <mergeCell ref="BW7:CB7"/>
    <mergeCell ref="B17:G17"/>
    <mergeCell ref="B23:G23"/>
    <mergeCell ref="J23:O23"/>
    <mergeCell ref="J16:O16"/>
    <mergeCell ref="J17:O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topLeftCell="N1" workbookViewId="0">
      <selection activeCell="S43" sqref="S43"/>
    </sheetView>
  </sheetViews>
  <sheetFormatPr defaultRowHeight="14.5" x14ac:dyDescent="0.35"/>
  <cols>
    <col min="1" max="1" width="8.7265625" style="11"/>
    <col min="2" max="2" width="11.90625" style="11" customWidth="1"/>
    <col min="3" max="3" width="14.08984375" style="11" customWidth="1"/>
    <col min="4" max="4" width="6.1796875" style="11" customWidth="1"/>
    <col min="5" max="5" width="6.54296875" style="11" customWidth="1"/>
    <col min="6" max="6" width="9.54296875" style="19" customWidth="1"/>
    <col min="8" max="8" width="10.54296875" bestFit="1" customWidth="1"/>
    <col min="9" max="9" width="13.7265625" bestFit="1" customWidth="1"/>
    <col min="12" max="12" width="10.26953125" style="26" bestFit="1" customWidth="1"/>
    <col min="13" max="13" width="11" bestFit="1" customWidth="1"/>
    <col min="14" max="14" width="14.6328125" bestFit="1" customWidth="1"/>
    <col min="15" max="15" width="13.81640625" bestFit="1" customWidth="1"/>
    <col min="16" max="16" width="9.36328125" bestFit="1" customWidth="1"/>
    <col min="17" max="18" width="10.54296875" bestFit="1" customWidth="1"/>
    <col min="19" max="19" width="13.7265625" bestFit="1" customWidth="1"/>
    <col min="20" max="20" width="10.54296875" bestFit="1" customWidth="1"/>
    <col min="21" max="21" width="13.7265625" bestFit="1" customWidth="1"/>
  </cols>
  <sheetData>
    <row r="1" spans="1:23" x14ac:dyDescent="0.35">
      <c r="A1" s="11">
        <f ca="1">A1:E66</f>
        <v>0</v>
      </c>
      <c r="B1" s="64" t="s">
        <v>151</v>
      </c>
      <c r="C1" s="64"/>
      <c r="D1" s="64"/>
      <c r="E1" s="64"/>
      <c r="G1" s="20">
        <f ca="1">G1:K66</f>
        <v>0</v>
      </c>
      <c r="H1" s="64" t="s">
        <v>182</v>
      </c>
      <c r="I1" s="64"/>
      <c r="J1" s="64"/>
      <c r="K1" s="64"/>
      <c r="L1" s="14"/>
      <c r="N1" s="65" t="s">
        <v>168</v>
      </c>
      <c r="O1" s="65"/>
      <c r="P1" s="65"/>
      <c r="Q1" s="65"/>
      <c r="R1" s="10"/>
      <c r="T1" s="65" t="s">
        <v>181</v>
      </c>
      <c r="U1" s="65"/>
      <c r="V1" s="65"/>
      <c r="W1" s="65"/>
    </row>
    <row r="2" spans="1:23" x14ac:dyDescent="0.35">
      <c r="A2" s="12" t="s">
        <v>0</v>
      </c>
      <c r="B2" s="12" t="s">
        <v>150</v>
      </c>
      <c r="C2" s="12" t="s">
        <v>149</v>
      </c>
      <c r="D2" s="12" t="s">
        <v>147</v>
      </c>
      <c r="E2" s="12" t="s">
        <v>148</v>
      </c>
      <c r="F2" s="18" t="s">
        <v>166</v>
      </c>
      <c r="G2" s="39" t="s">
        <v>0</v>
      </c>
      <c r="H2" s="12" t="s">
        <v>150</v>
      </c>
      <c r="I2" s="12" t="s">
        <v>149</v>
      </c>
      <c r="J2" s="12" t="s">
        <v>147</v>
      </c>
      <c r="K2" s="38" t="s">
        <v>148</v>
      </c>
      <c r="L2" s="14" t="s">
        <v>166</v>
      </c>
      <c r="M2" s="33" t="s">
        <v>0</v>
      </c>
      <c r="N2" s="17" t="s">
        <v>150</v>
      </c>
      <c r="O2" s="17" t="s">
        <v>149</v>
      </c>
      <c r="P2" s="17" t="s">
        <v>147</v>
      </c>
      <c r="Q2" s="17" t="s">
        <v>148</v>
      </c>
      <c r="S2" s="33" t="s">
        <v>0</v>
      </c>
      <c r="T2" s="17" t="s">
        <v>150</v>
      </c>
      <c r="U2" s="17" t="s">
        <v>149</v>
      </c>
      <c r="V2" s="17" t="s">
        <v>147</v>
      </c>
      <c r="W2" s="17" t="s">
        <v>148</v>
      </c>
    </row>
    <row r="3" spans="1:23" x14ac:dyDescent="0.35">
      <c r="A3" s="13" t="s">
        <v>2</v>
      </c>
      <c r="B3" s="13">
        <v>1.6819999999999999</v>
      </c>
      <c r="C3" s="13">
        <v>3114.192</v>
      </c>
      <c r="D3" s="13">
        <v>0.1</v>
      </c>
      <c r="E3" s="13">
        <v>0.36</v>
      </c>
      <c r="F3" s="24">
        <f>AVERAGE(B3:B8)</f>
        <v>3063.5766666666664</v>
      </c>
      <c r="G3" s="22" t="s">
        <v>74</v>
      </c>
      <c r="H3" s="13">
        <v>3.1E-2</v>
      </c>
      <c r="I3" s="13">
        <v>3418.0889999999999</v>
      </c>
      <c r="J3" s="13">
        <v>8.4000000000000005E-2</v>
      </c>
      <c r="K3" s="31">
        <v>0.317</v>
      </c>
      <c r="L3" s="28">
        <f>AVERAGE(H3:H8)</f>
        <v>4179.4073333333336</v>
      </c>
      <c r="M3" s="34" t="s">
        <v>154</v>
      </c>
      <c r="N3" s="25">
        <v>3063.5766666666664</v>
      </c>
      <c r="O3" s="25">
        <v>2241.3366666666666</v>
      </c>
      <c r="P3" s="25">
        <v>7.2148333333333339</v>
      </c>
      <c r="Q3" s="25">
        <v>6.0246666666666675</v>
      </c>
      <c r="S3" s="34" t="s">
        <v>169</v>
      </c>
      <c r="T3" s="29">
        <v>4179.4073333333336</v>
      </c>
      <c r="U3" s="29">
        <v>2225.4830000000002</v>
      </c>
      <c r="V3" s="29">
        <v>8.8866666666666667</v>
      </c>
      <c r="W3" s="29">
        <v>5.9118333333333339</v>
      </c>
    </row>
    <row r="4" spans="1:23" x14ac:dyDescent="0.35">
      <c r="A4" s="13" t="s">
        <v>3</v>
      </c>
      <c r="B4" s="13">
        <v>101.711</v>
      </c>
      <c r="C4" s="13">
        <v>2879.569</v>
      </c>
      <c r="D4" s="13">
        <v>0.67900000000000005</v>
      </c>
      <c r="E4" s="13">
        <v>1.6279999999999999</v>
      </c>
      <c r="F4" s="24">
        <f>AVERAGE(C3:C8)</f>
        <v>2241.3366666666666</v>
      </c>
      <c r="G4" s="22" t="s">
        <v>75</v>
      </c>
      <c r="H4" s="13">
        <v>292.82299999999998</v>
      </c>
      <c r="I4" s="13">
        <v>2765.1469999999999</v>
      </c>
      <c r="J4" s="13">
        <v>0.65900000000000003</v>
      </c>
      <c r="K4" s="31">
        <v>1.046</v>
      </c>
      <c r="L4" s="28">
        <f>AVERAGE(I3:I8)</f>
        <v>2225.4830000000002</v>
      </c>
      <c r="M4" s="34" t="s">
        <v>155</v>
      </c>
      <c r="N4" s="25">
        <v>4578.5826666666662</v>
      </c>
      <c r="O4" s="25">
        <v>1835.9068</v>
      </c>
      <c r="P4" s="25">
        <v>10.174666666666667</v>
      </c>
      <c r="Q4" s="25">
        <v>7.1318333333333328</v>
      </c>
      <c r="S4" s="34" t="s">
        <v>170</v>
      </c>
      <c r="T4" s="29">
        <v>2856.2886666666673</v>
      </c>
      <c r="U4" s="29">
        <v>2134.2726000000002</v>
      </c>
      <c r="V4" s="29">
        <v>6.1305000000000005</v>
      </c>
      <c r="W4" s="29">
        <v>4.0744999999999996</v>
      </c>
    </row>
    <row r="5" spans="1:23" x14ac:dyDescent="0.35">
      <c r="A5" s="13" t="s">
        <v>4</v>
      </c>
      <c r="B5" s="13">
        <v>4434.0389999999998</v>
      </c>
      <c r="C5" s="13">
        <v>1831.175</v>
      </c>
      <c r="D5" s="13">
        <v>8.3729999999999993</v>
      </c>
      <c r="E5" s="13">
        <v>8.8070000000000004</v>
      </c>
      <c r="F5" s="24">
        <f>AVERAGE(D3:D8)</f>
        <v>7.2148333333333339</v>
      </c>
      <c r="G5" s="22" t="s">
        <v>76</v>
      </c>
      <c r="H5" s="13">
        <v>2926.13</v>
      </c>
      <c r="I5" s="13">
        <v>1980.1849999999999</v>
      </c>
      <c r="J5" s="13">
        <v>6.29</v>
      </c>
      <c r="K5" s="31">
        <v>5.1269999999999998</v>
      </c>
      <c r="L5" s="28">
        <f>AVERAGE(J3:J8)</f>
        <v>8.8866666666666667</v>
      </c>
      <c r="M5" s="34" t="s">
        <v>156</v>
      </c>
      <c r="N5" s="25">
        <v>5951.1793333333335</v>
      </c>
      <c r="O5" s="25">
        <v>1817.9322</v>
      </c>
      <c r="P5" s="25">
        <v>12.997833333333332</v>
      </c>
      <c r="Q5" s="25">
        <v>7.7138333333333335</v>
      </c>
      <c r="S5" s="34" t="s">
        <v>171</v>
      </c>
      <c r="T5" s="29">
        <v>2591.2926666666667</v>
      </c>
      <c r="U5" s="29">
        <v>2237.4821666666667</v>
      </c>
      <c r="V5" s="29">
        <v>6.5858333333333334</v>
      </c>
      <c r="W5" s="29">
        <v>5.3521666666666663</v>
      </c>
    </row>
    <row r="6" spans="1:23" x14ac:dyDescent="0.35">
      <c r="A6" s="13" t="s">
        <v>5</v>
      </c>
      <c r="B6" s="13">
        <v>6367.9390000000003</v>
      </c>
      <c r="C6" s="13">
        <v>1670.575</v>
      </c>
      <c r="D6" s="13">
        <v>16.73</v>
      </c>
      <c r="E6" s="13">
        <v>13.073</v>
      </c>
      <c r="F6" s="24">
        <f>AVERAGE(E3:E8)</f>
        <v>6.0246666666666675</v>
      </c>
      <c r="G6" s="22" t="s">
        <v>77</v>
      </c>
      <c r="H6" s="13">
        <v>13741.03</v>
      </c>
      <c r="I6" s="13">
        <v>1367.596</v>
      </c>
      <c r="J6" s="13">
        <v>26.079000000000001</v>
      </c>
      <c r="K6" s="31">
        <v>19.146999999999998</v>
      </c>
      <c r="L6" s="28">
        <f>AVERAGE(K3:K8)</f>
        <v>5.9118333333333339</v>
      </c>
      <c r="M6" s="34" t="s">
        <v>157</v>
      </c>
      <c r="N6" s="25">
        <v>3292.7191666666663</v>
      </c>
      <c r="O6" s="25">
        <v>2062.9415999999997</v>
      </c>
      <c r="P6" s="25">
        <v>7.9683333333333337</v>
      </c>
      <c r="Q6" s="25">
        <v>4.9576666666666673</v>
      </c>
      <c r="S6" s="34" t="s">
        <v>172</v>
      </c>
      <c r="T6" s="29">
        <v>3178.8296666666665</v>
      </c>
      <c r="U6" s="29">
        <v>2015.7164</v>
      </c>
      <c r="V6" s="29">
        <v>7.9556666666666658</v>
      </c>
      <c r="W6" s="29">
        <v>4.3723333333333336</v>
      </c>
    </row>
    <row r="7" spans="1:23" x14ac:dyDescent="0.35">
      <c r="A7" s="13" t="s">
        <v>6</v>
      </c>
      <c r="B7" s="13">
        <v>5937.02</v>
      </c>
      <c r="C7" s="13">
        <v>1716.9449999999999</v>
      </c>
      <c r="D7" s="13">
        <v>13.804</v>
      </c>
      <c r="E7" s="13">
        <v>9.8680000000000003</v>
      </c>
      <c r="G7" s="22" t="s">
        <v>78</v>
      </c>
      <c r="H7" s="13">
        <v>5737.54</v>
      </c>
      <c r="I7" s="13">
        <v>1752.8869999999999</v>
      </c>
      <c r="J7" s="13">
        <v>14.43</v>
      </c>
      <c r="K7" s="31">
        <v>7.2240000000000002</v>
      </c>
      <c r="L7" s="28">
        <v>0</v>
      </c>
      <c r="M7" s="34" t="s">
        <v>158</v>
      </c>
      <c r="N7" s="25">
        <v>5722.6808333333329</v>
      </c>
      <c r="O7" s="25">
        <v>1768.9559999999997</v>
      </c>
      <c r="P7" s="25">
        <v>12.591833333333334</v>
      </c>
      <c r="Q7" s="25">
        <v>8.910166666666667</v>
      </c>
      <c r="S7" s="34" t="s">
        <v>173</v>
      </c>
      <c r="T7" s="29">
        <v>3464.1928333333331</v>
      </c>
      <c r="U7" s="29">
        <v>2022.9788000000001</v>
      </c>
      <c r="V7" s="29">
        <v>8.1105</v>
      </c>
      <c r="W7" s="29">
        <v>5.7029999999999994</v>
      </c>
    </row>
    <row r="8" spans="1:23" x14ac:dyDescent="0.35">
      <c r="A8" s="13" t="s">
        <v>7</v>
      </c>
      <c r="B8" s="13">
        <v>1539.069</v>
      </c>
      <c r="C8" s="13">
        <v>2235.5639999999999</v>
      </c>
      <c r="D8" s="13">
        <v>3.6030000000000002</v>
      </c>
      <c r="E8" s="13">
        <v>2.4119999999999999</v>
      </c>
      <c r="G8" s="22" t="s">
        <v>79</v>
      </c>
      <c r="H8" s="13">
        <v>2378.89</v>
      </c>
      <c r="I8" s="13">
        <v>2068.9940000000001</v>
      </c>
      <c r="J8" s="13">
        <v>5.7779999999999996</v>
      </c>
      <c r="K8" s="31">
        <v>2.61</v>
      </c>
      <c r="L8" s="28">
        <v>0</v>
      </c>
      <c r="M8" s="34" t="s">
        <v>159</v>
      </c>
      <c r="N8" s="25">
        <v>3728.7469999999998</v>
      </c>
      <c r="O8" s="25">
        <v>2171.8229999999999</v>
      </c>
      <c r="P8" s="25">
        <v>9.4113333333333333</v>
      </c>
      <c r="Q8" s="25">
        <v>5.9115000000000002</v>
      </c>
      <c r="S8" s="34" t="s">
        <v>174</v>
      </c>
      <c r="T8" s="29">
        <v>1484.448166666667</v>
      </c>
      <c r="U8" s="29">
        <v>2246.3776000000003</v>
      </c>
      <c r="V8" s="29">
        <v>3.6196666666666668</v>
      </c>
      <c r="W8" s="29">
        <v>2.7318333333333338</v>
      </c>
    </row>
    <row r="9" spans="1:23" x14ac:dyDescent="0.35">
      <c r="A9" s="13" t="s">
        <v>8</v>
      </c>
      <c r="B9" s="13">
        <v>0</v>
      </c>
      <c r="C9" s="13"/>
      <c r="D9" s="13">
        <v>6.3E-2</v>
      </c>
      <c r="E9" s="13">
        <v>0.25800000000000001</v>
      </c>
      <c r="F9" s="24">
        <f>AVERAGE(B9:B14)</f>
        <v>4578.5826666666662</v>
      </c>
      <c r="G9" s="22" t="s">
        <v>80</v>
      </c>
      <c r="H9" s="13">
        <v>0</v>
      </c>
      <c r="I9" s="13"/>
      <c r="J9" s="13">
        <v>0.04</v>
      </c>
      <c r="K9" s="31">
        <v>0.14299999999999999</v>
      </c>
      <c r="L9" s="28">
        <f t="shared" ref="L9" si="0">AVERAGE(H9:H14)</f>
        <v>2856.2886666666673</v>
      </c>
      <c r="M9" s="34" t="s">
        <v>160</v>
      </c>
      <c r="N9" s="25">
        <v>4501.657666666667</v>
      </c>
      <c r="O9" s="25">
        <v>2025.0388333333333</v>
      </c>
      <c r="P9" s="25">
        <v>11.574</v>
      </c>
      <c r="Q9" s="25">
        <v>7.0473333333333317</v>
      </c>
      <c r="S9" s="34" t="s">
        <v>175</v>
      </c>
      <c r="T9" s="29">
        <v>3577.9950000000003</v>
      </c>
      <c r="U9" s="29">
        <v>2209.2315000000003</v>
      </c>
      <c r="V9" s="29">
        <v>8.8486666666666665</v>
      </c>
      <c r="W9" s="29">
        <v>4.3246666666666664</v>
      </c>
    </row>
    <row r="10" spans="1:23" x14ac:dyDescent="0.35">
      <c r="A10" s="13" t="s">
        <v>9</v>
      </c>
      <c r="B10" s="13">
        <v>2039.249</v>
      </c>
      <c r="C10" s="13">
        <v>2045.117</v>
      </c>
      <c r="D10" s="13">
        <v>4.7770000000000001</v>
      </c>
      <c r="E10" s="13">
        <v>8.282</v>
      </c>
      <c r="F10" s="24">
        <f>AVERAGE(C9:C14)</f>
        <v>1835.9068</v>
      </c>
      <c r="G10" s="22" t="s">
        <v>81</v>
      </c>
      <c r="H10" s="13">
        <v>111.27200000000001</v>
      </c>
      <c r="I10" s="13">
        <v>2911.03</v>
      </c>
      <c r="J10" s="13">
        <v>0.45100000000000001</v>
      </c>
      <c r="K10" s="31">
        <v>1.0820000000000001</v>
      </c>
      <c r="L10" s="28">
        <f t="shared" ref="L10" si="1">AVERAGE(I9:I14)</f>
        <v>2134.2726000000002</v>
      </c>
      <c r="M10" s="34" t="s">
        <v>161</v>
      </c>
      <c r="N10" s="25">
        <v>3588.9176666666663</v>
      </c>
      <c r="O10" s="25">
        <v>1983.9849999999999</v>
      </c>
      <c r="P10" s="25">
        <v>7.9443333333333328</v>
      </c>
      <c r="Q10" s="25">
        <v>5.2690000000000001</v>
      </c>
      <c r="S10" s="34" t="s">
        <v>176</v>
      </c>
      <c r="T10" s="29">
        <v>3929.9198333333334</v>
      </c>
      <c r="U10" s="29">
        <v>2074.5281999999997</v>
      </c>
      <c r="V10" s="29">
        <v>9.1888333333333332</v>
      </c>
      <c r="W10" s="29">
        <v>5.7331666666666665</v>
      </c>
    </row>
    <row r="11" spans="1:23" x14ac:dyDescent="0.35">
      <c r="A11" s="13" t="s">
        <v>10</v>
      </c>
      <c r="B11" s="13">
        <v>3357.011</v>
      </c>
      <c r="C11" s="13">
        <v>1937.1279999999999</v>
      </c>
      <c r="D11" s="13">
        <v>8.1020000000000003</v>
      </c>
      <c r="E11" s="13">
        <v>4.6829999999999998</v>
      </c>
      <c r="F11" s="24">
        <f>AVERAGE(D9:D14)</f>
        <v>10.174666666666667</v>
      </c>
      <c r="G11" s="22" t="s">
        <v>82</v>
      </c>
      <c r="H11" s="13">
        <v>9571.0400000000009</v>
      </c>
      <c r="I11" s="13">
        <v>1502.877</v>
      </c>
      <c r="J11" s="13">
        <v>18.344999999999999</v>
      </c>
      <c r="K11" s="31">
        <v>13.691000000000001</v>
      </c>
      <c r="L11" s="28">
        <f t="shared" ref="L11" si="2">AVERAGE(J9:J14)</f>
        <v>6.1305000000000005</v>
      </c>
      <c r="M11" s="34" t="s">
        <v>162</v>
      </c>
      <c r="N11" s="25">
        <v>2379.2313333333336</v>
      </c>
      <c r="O11" s="25">
        <v>2128.3664000000003</v>
      </c>
      <c r="P11" s="25">
        <v>5.7323333333333331</v>
      </c>
      <c r="Q11" s="25">
        <v>3.8155000000000001</v>
      </c>
      <c r="S11" s="34" t="s">
        <v>177</v>
      </c>
      <c r="T11" s="29">
        <v>1973.9233333333332</v>
      </c>
      <c r="U11" s="29">
        <v>2168.2388000000001</v>
      </c>
      <c r="V11" s="29">
        <v>4.6379999999999999</v>
      </c>
      <c r="W11" s="29">
        <v>3.9158333333333335</v>
      </c>
    </row>
    <row r="12" spans="1:23" x14ac:dyDescent="0.35">
      <c r="A12" s="13" t="s">
        <v>11</v>
      </c>
      <c r="B12" s="13">
        <v>13520.546</v>
      </c>
      <c r="C12" s="13">
        <v>1392.2639999999999</v>
      </c>
      <c r="D12" s="13">
        <v>28.805</v>
      </c>
      <c r="E12" s="13">
        <v>16.959</v>
      </c>
      <c r="F12" s="24">
        <f>AVERAGE(E9:E14)</f>
        <v>7.1318333333333328</v>
      </c>
      <c r="G12" s="22" t="s">
        <v>83</v>
      </c>
      <c r="H12" s="13">
        <v>3652.11</v>
      </c>
      <c r="I12" s="13">
        <v>1894.444</v>
      </c>
      <c r="J12" s="13">
        <v>8.3659999999999997</v>
      </c>
      <c r="K12" s="31">
        <v>3.8039999999999998</v>
      </c>
      <c r="L12" s="28">
        <f t="shared" ref="L12" si="3">AVERAGE(K9:K14)</f>
        <v>4.0744999999999996</v>
      </c>
      <c r="M12" s="34" t="s">
        <v>163</v>
      </c>
      <c r="N12" s="25">
        <v>1485.104</v>
      </c>
      <c r="O12" s="25">
        <v>2218.2148000000002</v>
      </c>
      <c r="P12" s="25">
        <v>4.1315</v>
      </c>
      <c r="Q12" s="25">
        <v>3.5611666666666668</v>
      </c>
      <c r="S12" s="34" t="s">
        <v>178</v>
      </c>
      <c r="T12" s="29">
        <v>4712.4158333333335</v>
      </c>
      <c r="U12" s="29">
        <v>1986.8576</v>
      </c>
      <c r="V12" s="29">
        <v>9.2361666666666675</v>
      </c>
      <c r="W12" s="29">
        <v>7.3881666666666668</v>
      </c>
    </row>
    <row r="13" spans="1:23" x14ac:dyDescent="0.35">
      <c r="A13" s="13" t="s">
        <v>12</v>
      </c>
      <c r="B13" s="13">
        <v>6483.2839999999997</v>
      </c>
      <c r="C13" s="13">
        <v>1672.87</v>
      </c>
      <c r="D13" s="13">
        <v>14.244</v>
      </c>
      <c r="E13" s="13">
        <v>10.638</v>
      </c>
      <c r="G13" s="22" t="s">
        <v>84</v>
      </c>
      <c r="H13" s="13">
        <v>2380.7800000000002</v>
      </c>
      <c r="I13" s="13">
        <v>2074.52</v>
      </c>
      <c r="J13" s="13">
        <v>6.0270000000000001</v>
      </c>
      <c r="K13" s="31">
        <v>3.581</v>
      </c>
      <c r="L13" s="28">
        <v>0</v>
      </c>
      <c r="M13" s="34" t="s">
        <v>164</v>
      </c>
      <c r="N13" s="25">
        <v>3026.2488333333336</v>
      </c>
      <c r="O13" s="25">
        <v>2141.0755999999997</v>
      </c>
      <c r="P13" s="25">
        <v>6.8765000000000001</v>
      </c>
      <c r="Q13" s="25">
        <v>3.8121666666666663</v>
      </c>
      <c r="S13" s="34" t="s">
        <v>179</v>
      </c>
      <c r="T13" s="29">
        <v>2119.2635</v>
      </c>
      <c r="U13" s="29">
        <v>2434.7453333333333</v>
      </c>
      <c r="V13" s="29">
        <v>5.1663333333333332</v>
      </c>
      <c r="W13" s="29">
        <v>3.3359999999999999</v>
      </c>
    </row>
    <row r="14" spans="1:23" x14ac:dyDescent="0.35">
      <c r="A14" s="13" t="s">
        <v>13</v>
      </c>
      <c r="B14" s="13">
        <v>2071.4059999999999</v>
      </c>
      <c r="C14" s="13">
        <v>2132.1550000000002</v>
      </c>
      <c r="D14" s="13">
        <v>5.0570000000000004</v>
      </c>
      <c r="E14" s="13">
        <v>1.9710000000000001</v>
      </c>
      <c r="G14" s="22" t="s">
        <v>85</v>
      </c>
      <c r="H14" s="13">
        <v>1422.53</v>
      </c>
      <c r="I14" s="13">
        <v>2288.4920000000002</v>
      </c>
      <c r="J14" s="13">
        <v>3.5539999999999998</v>
      </c>
      <c r="K14" s="31">
        <v>2.1459999999999999</v>
      </c>
      <c r="L14" s="28">
        <v>0</v>
      </c>
      <c r="M14" s="34" t="s">
        <v>165</v>
      </c>
      <c r="N14" s="25">
        <v>4880.1324999999997</v>
      </c>
      <c r="O14" s="25">
        <v>1857.9833999999998</v>
      </c>
      <c r="P14" s="25">
        <v>11.391500000000001</v>
      </c>
      <c r="Q14" s="25">
        <v>7.2283333333333344</v>
      </c>
      <c r="S14" s="34" t="s">
        <v>180</v>
      </c>
      <c r="T14" s="29">
        <v>1934.4783333333335</v>
      </c>
      <c r="U14" s="29">
        <v>2146.3375999999998</v>
      </c>
      <c r="V14" s="29">
        <v>4.9198333333333331</v>
      </c>
      <c r="W14" s="29">
        <v>3.2535000000000003</v>
      </c>
    </row>
    <row r="15" spans="1:23" x14ac:dyDescent="0.35">
      <c r="A15" s="13" t="s">
        <v>14</v>
      </c>
      <c r="B15" s="13">
        <v>0</v>
      </c>
      <c r="C15" s="13"/>
      <c r="D15" s="13">
        <v>7.8E-2</v>
      </c>
      <c r="E15" s="13">
        <v>0.28799999999999998</v>
      </c>
      <c r="F15" s="24">
        <f>AVERAGE(B15:B20)</f>
        <v>5951.1793333333335</v>
      </c>
      <c r="G15" s="22" t="s">
        <v>86</v>
      </c>
      <c r="H15" s="13">
        <v>30.748000000000001</v>
      </c>
      <c r="I15" s="13">
        <v>3079.808</v>
      </c>
      <c r="J15" s="13">
        <v>0.13500000000000001</v>
      </c>
      <c r="K15" s="31">
        <v>0.35499999999999998</v>
      </c>
      <c r="L15" s="28">
        <f t="shared" ref="L15" si="4">AVERAGE(H15:H20)</f>
        <v>2591.2926666666667</v>
      </c>
      <c r="M15" s="27" t="s">
        <v>152</v>
      </c>
      <c r="N15" s="35">
        <f>SUM(N3:N14)</f>
        <v>46198.777666666661</v>
      </c>
      <c r="O15" s="35">
        <f t="shared" ref="O15:Q15" si="5">SUM(O3:O14)</f>
        <v>24253.560300000005</v>
      </c>
      <c r="P15" s="35">
        <f t="shared" si="5"/>
        <v>108.00900000000001</v>
      </c>
      <c r="Q15" s="35">
        <f t="shared" si="5"/>
        <v>71.383166666666682</v>
      </c>
      <c r="R15" s="6"/>
      <c r="S15" s="27" t="s">
        <v>152</v>
      </c>
      <c r="T15" s="35">
        <f>SUM(T3:T14)</f>
        <v>36002.455166666659</v>
      </c>
      <c r="U15" s="35">
        <f t="shared" ref="U15:W15" si="6">SUM(U3:U14)</f>
        <v>25902.249599999996</v>
      </c>
      <c r="V15" s="35">
        <f t="shared" si="6"/>
        <v>83.286666666666662</v>
      </c>
      <c r="W15" s="35">
        <f t="shared" si="6"/>
        <v>56.097000000000008</v>
      </c>
    </row>
    <row r="16" spans="1:23" x14ac:dyDescent="0.35">
      <c r="A16" s="13" t="s">
        <v>15</v>
      </c>
      <c r="B16" s="13">
        <v>255.899</v>
      </c>
      <c r="C16" s="13">
        <v>2764.4859999999999</v>
      </c>
      <c r="D16" s="13">
        <v>0.68799999999999994</v>
      </c>
      <c r="E16" s="13">
        <v>1.204</v>
      </c>
      <c r="F16" s="24">
        <f>AVERAGE(C15:C20)</f>
        <v>1817.9322</v>
      </c>
      <c r="G16" s="22" t="s">
        <v>87</v>
      </c>
      <c r="H16" s="13">
        <v>999.85799999999995</v>
      </c>
      <c r="I16" s="13">
        <v>2410.3130000000001</v>
      </c>
      <c r="J16" s="13">
        <v>3.4220000000000002</v>
      </c>
      <c r="K16" s="31">
        <v>4.7060000000000004</v>
      </c>
      <c r="L16" s="28">
        <f t="shared" ref="L16" si="7">AVERAGE(I15:I20)</f>
        <v>2237.4821666666667</v>
      </c>
      <c r="M16" s="27" t="s">
        <v>167</v>
      </c>
      <c r="N16" s="35">
        <f>AVERAGE(N3:N14)</f>
        <v>3849.8981388888883</v>
      </c>
      <c r="O16" s="35">
        <f t="shared" ref="O16:Q16" si="8">AVERAGE(O3:O14)</f>
        <v>2021.1300250000004</v>
      </c>
      <c r="P16" s="35">
        <f t="shared" si="8"/>
        <v>9.0007500000000018</v>
      </c>
      <c r="Q16" s="35">
        <f t="shared" si="8"/>
        <v>5.9485972222222232</v>
      </c>
      <c r="R16" s="6"/>
      <c r="S16" s="27" t="s">
        <v>167</v>
      </c>
      <c r="T16" s="35">
        <f>AVERAGE(T3:T14)</f>
        <v>3000.2045972222218</v>
      </c>
      <c r="U16" s="35">
        <f>AVERAGE(U3:U14)</f>
        <v>2158.5207999999998</v>
      </c>
      <c r="V16" s="35">
        <f t="shared" ref="V16:W16" si="9">AVERAGE(V3:V14)</f>
        <v>6.9405555555555551</v>
      </c>
      <c r="W16" s="35">
        <f t="shared" si="9"/>
        <v>4.6747500000000004</v>
      </c>
    </row>
    <row r="17" spans="1:17" x14ac:dyDescent="0.35">
      <c r="A17" s="13" t="s">
        <v>16</v>
      </c>
      <c r="B17" s="13">
        <v>12274.308000000001</v>
      </c>
      <c r="C17" s="13">
        <v>1415.2449999999999</v>
      </c>
      <c r="D17" s="13">
        <v>21.960999999999999</v>
      </c>
      <c r="E17" s="13">
        <v>20.064</v>
      </c>
      <c r="F17" s="24">
        <f>AVERAGE(D15:D20)</f>
        <v>12.997833333333332</v>
      </c>
      <c r="G17" s="22" t="s">
        <v>88</v>
      </c>
      <c r="H17" s="13">
        <v>2027.74</v>
      </c>
      <c r="I17" s="13">
        <v>2152.7800000000002</v>
      </c>
      <c r="J17" s="13">
        <v>5.1849999999999996</v>
      </c>
      <c r="K17" s="31">
        <v>3.47</v>
      </c>
      <c r="L17" s="28">
        <f t="shared" ref="L17" si="10">AVERAGE(J15:J20)</f>
        <v>6.5858333333333334</v>
      </c>
      <c r="M17" s="22"/>
      <c r="N17" s="16"/>
      <c r="O17" s="16"/>
      <c r="P17" s="16"/>
      <c r="Q17" s="16"/>
    </row>
    <row r="18" spans="1:17" x14ac:dyDescent="0.35">
      <c r="A18" s="13" t="s">
        <v>17</v>
      </c>
      <c r="B18" s="13">
        <v>7468.3389999999999</v>
      </c>
      <c r="C18" s="13">
        <v>1640.942</v>
      </c>
      <c r="D18" s="13">
        <v>17.864000000000001</v>
      </c>
      <c r="E18" s="13">
        <v>7.8719999999999999</v>
      </c>
      <c r="F18" s="24">
        <f>AVERAGE(E15:E20)</f>
        <v>7.7138333333333335</v>
      </c>
      <c r="G18" s="22" t="s">
        <v>89</v>
      </c>
      <c r="H18" s="13">
        <v>7169.01</v>
      </c>
      <c r="I18" s="13">
        <v>1661.441</v>
      </c>
      <c r="J18" s="13">
        <v>17.091000000000001</v>
      </c>
      <c r="K18" s="31">
        <v>13.67</v>
      </c>
      <c r="L18" s="28">
        <f t="shared" ref="L18" si="11">AVERAGE(K15:K20)</f>
        <v>5.3521666666666663</v>
      </c>
      <c r="M18" s="22"/>
      <c r="N18" s="16"/>
      <c r="O18" s="16"/>
      <c r="P18" s="16"/>
      <c r="Q18" s="16"/>
    </row>
    <row r="19" spans="1:17" x14ac:dyDescent="0.35">
      <c r="A19" s="13" t="s">
        <v>18</v>
      </c>
      <c r="B19" s="13">
        <v>9727.9930000000004</v>
      </c>
      <c r="C19" s="13">
        <v>1525.683</v>
      </c>
      <c r="D19" s="13">
        <v>21.724</v>
      </c>
      <c r="E19" s="13">
        <v>9.7110000000000003</v>
      </c>
      <c r="G19" s="22" t="s">
        <v>90</v>
      </c>
      <c r="H19" s="13">
        <v>3423.15</v>
      </c>
      <c r="I19" s="13">
        <v>1943.633</v>
      </c>
      <c r="J19" s="13">
        <v>9.1020000000000003</v>
      </c>
      <c r="K19" s="31">
        <v>7.5720000000000001</v>
      </c>
      <c r="L19" s="28">
        <v>0</v>
      </c>
    </row>
    <row r="20" spans="1:17" ht="15.5" x14ac:dyDescent="0.35">
      <c r="A20" s="13" t="s">
        <v>19</v>
      </c>
      <c r="B20" s="13">
        <v>5980.5370000000003</v>
      </c>
      <c r="C20" s="13">
        <v>1743.3050000000001</v>
      </c>
      <c r="D20" s="13">
        <v>15.672000000000001</v>
      </c>
      <c r="E20" s="13">
        <v>7.1440000000000001</v>
      </c>
      <c r="G20" s="22" t="s">
        <v>91</v>
      </c>
      <c r="H20" s="13">
        <v>1897.25</v>
      </c>
      <c r="I20" s="13">
        <v>2176.9180000000001</v>
      </c>
      <c r="J20" s="13">
        <v>4.58</v>
      </c>
      <c r="K20" s="31">
        <v>2.34</v>
      </c>
      <c r="L20" s="28">
        <v>0</v>
      </c>
      <c r="N20" t="s">
        <v>1</v>
      </c>
      <c r="O20" t="s">
        <v>146</v>
      </c>
      <c r="P20" s="40" t="s">
        <v>194</v>
      </c>
      <c r="Q20" s="40" t="s">
        <v>195</v>
      </c>
    </row>
    <row r="21" spans="1:17" x14ac:dyDescent="0.35">
      <c r="A21" s="13" t="s">
        <v>20</v>
      </c>
      <c r="B21" s="13">
        <v>0</v>
      </c>
      <c r="C21" s="13"/>
      <c r="D21" s="13">
        <v>7.5999999999999998E-2</v>
      </c>
      <c r="E21" s="13">
        <v>0.33400000000000002</v>
      </c>
      <c r="F21" s="24">
        <f>AVERAGE(B21:B26)</f>
        <v>3292.7191666666663</v>
      </c>
      <c r="G21" s="22" t="s">
        <v>92</v>
      </c>
      <c r="H21" s="13">
        <v>0</v>
      </c>
      <c r="I21" s="13"/>
      <c r="J21" s="13">
        <v>9.5000000000000001E-2</v>
      </c>
      <c r="K21" s="31">
        <v>0.373</v>
      </c>
      <c r="L21" s="28">
        <f t="shared" ref="L21" si="12">AVERAGE(H21:H26)</f>
        <v>3178.8296666666665</v>
      </c>
      <c r="N21" s="8">
        <v>0.74016666666666664</v>
      </c>
      <c r="O21" s="8">
        <v>2861.5873333333329</v>
      </c>
      <c r="P21" t="s">
        <v>196</v>
      </c>
    </row>
    <row r="22" spans="1:17" x14ac:dyDescent="0.35">
      <c r="A22" s="13" t="s">
        <v>21</v>
      </c>
      <c r="B22" s="13">
        <v>262.64499999999998</v>
      </c>
      <c r="C22" s="13">
        <v>2800.23</v>
      </c>
      <c r="D22" s="13">
        <v>0.81899999999999995</v>
      </c>
      <c r="E22" s="13">
        <v>1.252</v>
      </c>
      <c r="F22" s="24">
        <f>AVERAGE(C21:C26)</f>
        <v>2062.9415999999997</v>
      </c>
      <c r="G22" s="22" t="s">
        <v>93</v>
      </c>
      <c r="H22" s="13">
        <v>734.40800000000002</v>
      </c>
      <c r="I22" s="13">
        <v>2525.2710000000002</v>
      </c>
      <c r="J22" s="13">
        <v>1.7589999999999999</v>
      </c>
      <c r="K22" s="31">
        <v>1.7090000000000001</v>
      </c>
      <c r="L22" s="28">
        <f t="shared" ref="L22" si="13">AVERAGE(I21:I26)</f>
        <v>2015.7164</v>
      </c>
      <c r="N22" s="8">
        <v>752.39499999999998</v>
      </c>
      <c r="O22" s="8">
        <v>2553.67</v>
      </c>
      <c r="P22">
        <f>CORREL(N21:N26,O21:O26)</f>
        <v>-0.94981397190451633</v>
      </c>
    </row>
    <row r="23" spans="1:17" x14ac:dyDescent="0.35">
      <c r="A23" s="13" t="s">
        <v>22</v>
      </c>
      <c r="B23" s="13">
        <v>2306.0949999999998</v>
      </c>
      <c r="C23" s="13">
        <v>2043.3630000000001</v>
      </c>
      <c r="D23" s="13">
        <v>5.5830000000000002</v>
      </c>
      <c r="E23" s="13">
        <v>5.6420000000000003</v>
      </c>
      <c r="F23" s="24">
        <f>AVERAGE(D21:D26)</f>
        <v>7.9683333333333337</v>
      </c>
      <c r="G23" s="22" t="s">
        <v>94</v>
      </c>
      <c r="H23" s="13">
        <v>2980.61</v>
      </c>
      <c r="I23" s="13">
        <v>1974.672</v>
      </c>
      <c r="J23" s="13">
        <v>7.8360000000000003</v>
      </c>
      <c r="K23" s="31">
        <v>7.7560000000000002</v>
      </c>
      <c r="L23" s="28">
        <f t="shared" ref="L23" si="14">AVERAGE(J21:J26)</f>
        <v>7.9556666666666658</v>
      </c>
      <c r="N23" s="8">
        <v>3052.2453333333328</v>
      </c>
      <c r="O23" s="8">
        <v>2056.7636666666667</v>
      </c>
      <c r="P23" t="s">
        <v>197</v>
      </c>
    </row>
    <row r="24" spans="1:17" x14ac:dyDescent="0.35">
      <c r="A24" s="13" t="s">
        <v>23</v>
      </c>
      <c r="B24" s="13">
        <v>5990.4189999999999</v>
      </c>
      <c r="C24" s="13">
        <v>1755.684</v>
      </c>
      <c r="D24" s="13">
        <v>15.228</v>
      </c>
      <c r="E24" s="13">
        <v>5.8339999999999996</v>
      </c>
      <c r="F24" s="24">
        <f>AVERAGE(E21:E26)</f>
        <v>4.9576666666666673</v>
      </c>
      <c r="G24" s="22" t="s">
        <v>95</v>
      </c>
      <c r="H24" s="13">
        <v>8867.5300000000007</v>
      </c>
      <c r="I24" s="13">
        <v>1569.2639999999999</v>
      </c>
      <c r="J24" s="13">
        <v>22.222999999999999</v>
      </c>
      <c r="K24" s="31">
        <v>9.7080000000000002</v>
      </c>
      <c r="L24" s="28">
        <f t="shared" ref="L24" si="15">AVERAGE(K21:K26)</f>
        <v>4.3723333333333336</v>
      </c>
      <c r="N24" s="8">
        <v>7883.278416666667</v>
      </c>
      <c r="O24" s="8">
        <v>1633.9451666666664</v>
      </c>
      <c r="P24">
        <f>P22^2</f>
        <v>0.90214658122503333</v>
      </c>
    </row>
    <row r="25" spans="1:17" x14ac:dyDescent="0.35">
      <c r="A25" s="13" t="s">
        <v>24</v>
      </c>
      <c r="B25" s="13">
        <v>9445.6440000000002</v>
      </c>
      <c r="C25" s="13">
        <v>1524.164</v>
      </c>
      <c r="D25" s="13">
        <v>21.983000000000001</v>
      </c>
      <c r="E25" s="13">
        <v>14.912000000000001</v>
      </c>
      <c r="G25" s="22" t="s">
        <v>96</v>
      </c>
      <c r="H25" s="13">
        <v>4673.49</v>
      </c>
      <c r="I25" s="13">
        <v>1825.241</v>
      </c>
      <c r="J25" s="13">
        <v>11.407999999999999</v>
      </c>
      <c r="K25" s="31">
        <v>4.49</v>
      </c>
      <c r="L25" s="28">
        <v>0</v>
      </c>
      <c r="N25" s="8">
        <v>8184.4632500000007</v>
      </c>
      <c r="O25" s="8">
        <v>1640.3355833333335</v>
      </c>
    </row>
    <row r="26" spans="1:17" x14ac:dyDescent="0.35">
      <c r="A26" s="13" t="s">
        <v>25</v>
      </c>
      <c r="B26" s="13">
        <v>1751.5119999999999</v>
      </c>
      <c r="C26" s="13">
        <v>2191.2669999999998</v>
      </c>
      <c r="D26" s="13">
        <v>4.1210000000000004</v>
      </c>
      <c r="E26" s="13">
        <v>1.772</v>
      </c>
      <c r="G26" s="22" t="s">
        <v>97</v>
      </c>
      <c r="H26" s="13">
        <v>1816.94</v>
      </c>
      <c r="I26" s="13">
        <v>2184.134</v>
      </c>
      <c r="J26" s="13">
        <v>4.4130000000000003</v>
      </c>
      <c r="K26" s="31">
        <v>2.198</v>
      </c>
      <c r="L26" s="28">
        <v>0</v>
      </c>
      <c r="N26" s="8">
        <v>3226.2666666666669</v>
      </c>
      <c r="O26" s="8">
        <v>2042.0554166666664</v>
      </c>
    </row>
    <row r="27" spans="1:17" x14ac:dyDescent="0.35">
      <c r="A27" s="13" t="s">
        <v>26</v>
      </c>
      <c r="B27" s="13">
        <v>0</v>
      </c>
      <c r="C27" s="13"/>
      <c r="D27" s="13">
        <v>1.9E-2</v>
      </c>
      <c r="E27" s="13">
        <v>8.7999999999999995E-2</v>
      </c>
      <c r="F27" s="24">
        <f>AVERAGE(B27:B32)</f>
        <v>5722.6808333333329</v>
      </c>
      <c r="G27" s="22" t="s">
        <v>98</v>
      </c>
      <c r="H27" s="13">
        <v>0</v>
      </c>
      <c r="I27" s="13"/>
      <c r="J27" s="13">
        <v>4.4999999999999998E-2</v>
      </c>
      <c r="K27" s="31">
        <v>0.217</v>
      </c>
      <c r="L27" s="28">
        <f t="shared" ref="L27:L63" si="16">AVERAGE(H27:H32)</f>
        <v>3464.1928333333331</v>
      </c>
    </row>
    <row r="28" spans="1:17" x14ac:dyDescent="0.35">
      <c r="A28" s="13" t="s">
        <v>27</v>
      </c>
      <c r="B28" s="13">
        <v>2368.451</v>
      </c>
      <c r="C28" s="13">
        <v>2016.8869999999999</v>
      </c>
      <c r="D28" s="13">
        <v>5.3460000000000001</v>
      </c>
      <c r="E28" s="13">
        <v>8.2379999999999995</v>
      </c>
      <c r="F28" s="24">
        <f>AVERAGE(C27:C32)</f>
        <v>1768.9559999999997</v>
      </c>
      <c r="G28" s="22" t="s">
        <v>99</v>
      </c>
      <c r="H28" s="13">
        <v>125.827</v>
      </c>
      <c r="I28" s="8">
        <v>2865.2919999999999</v>
      </c>
      <c r="J28" s="13">
        <v>0.31</v>
      </c>
      <c r="K28" s="31">
        <v>0.42499999999999999</v>
      </c>
      <c r="L28" s="28">
        <f>AVERAGE(I27:I32)</f>
        <v>2022.9788000000001</v>
      </c>
    </row>
    <row r="29" spans="1:17" x14ac:dyDescent="0.35">
      <c r="A29" s="13" t="s">
        <v>28</v>
      </c>
      <c r="B29" s="13">
        <v>4190.51</v>
      </c>
      <c r="C29" s="13">
        <v>1863.5170000000001</v>
      </c>
      <c r="D29" s="13">
        <v>9.8059999999999992</v>
      </c>
      <c r="E29" s="13">
        <v>6.69</v>
      </c>
      <c r="F29" s="24">
        <f>AVERAGE(D27:D32)</f>
        <v>12.591833333333334</v>
      </c>
      <c r="G29" s="22" t="s">
        <v>100</v>
      </c>
      <c r="H29" s="13">
        <v>5411.15</v>
      </c>
      <c r="I29" s="8">
        <v>1745.203</v>
      </c>
      <c r="J29" s="13">
        <v>11.438000000000001</v>
      </c>
      <c r="K29" s="31">
        <v>12.036</v>
      </c>
      <c r="L29" s="28">
        <f t="shared" ref="L29:L65" si="17">AVERAGE(J27:J32)</f>
        <v>8.1105</v>
      </c>
      <c r="O29" s="7"/>
    </row>
    <row r="30" spans="1:17" x14ac:dyDescent="0.35">
      <c r="A30" s="13" t="s">
        <v>29</v>
      </c>
      <c r="B30" s="13">
        <v>9710.7240000000002</v>
      </c>
      <c r="C30" s="13">
        <v>1542.7539999999999</v>
      </c>
      <c r="D30" s="13">
        <v>20.492999999999999</v>
      </c>
      <c r="E30" s="13">
        <v>18.036000000000001</v>
      </c>
      <c r="F30" s="24">
        <f>AVERAGE(E27:E32)</f>
        <v>8.910166666666667</v>
      </c>
      <c r="G30" s="22" t="s">
        <v>101</v>
      </c>
      <c r="H30" s="13">
        <v>3788.98</v>
      </c>
      <c r="I30" s="8">
        <v>1871.3109999999999</v>
      </c>
      <c r="J30" s="13">
        <v>10.069000000000001</v>
      </c>
      <c r="K30" s="31">
        <v>7.4450000000000003</v>
      </c>
      <c r="L30" s="28">
        <f t="shared" ref="L30:L66" si="18">AVERAGE(K27:K32)</f>
        <v>5.7029999999999994</v>
      </c>
    </row>
    <row r="31" spans="1:17" x14ac:dyDescent="0.35">
      <c r="A31" s="13" t="s">
        <v>30</v>
      </c>
      <c r="B31" s="13">
        <v>15640.946</v>
      </c>
      <c r="C31" s="13">
        <v>1339.424</v>
      </c>
      <c r="D31" s="13">
        <v>33.883000000000003</v>
      </c>
      <c r="E31" s="13">
        <v>17.838999999999999</v>
      </c>
      <c r="G31" s="22" t="s">
        <v>102</v>
      </c>
      <c r="H31" s="13">
        <v>8899.5499999999993</v>
      </c>
      <c r="I31" s="8">
        <v>1587.59</v>
      </c>
      <c r="J31" s="13">
        <v>20.545000000000002</v>
      </c>
      <c r="K31" s="31">
        <v>11.04</v>
      </c>
      <c r="L31" s="28">
        <v>0</v>
      </c>
    </row>
    <row r="32" spans="1:17" x14ac:dyDescent="0.35">
      <c r="A32" s="13" t="s">
        <v>31</v>
      </c>
      <c r="B32" s="13">
        <v>2425.4540000000002</v>
      </c>
      <c r="C32" s="13">
        <v>2082.1979999999999</v>
      </c>
      <c r="D32" s="13">
        <v>6.0039999999999996</v>
      </c>
      <c r="E32" s="13">
        <v>2.57</v>
      </c>
      <c r="G32" s="22" t="s">
        <v>103</v>
      </c>
      <c r="H32" s="13">
        <v>2559.65</v>
      </c>
      <c r="I32" s="8">
        <v>2045.498</v>
      </c>
      <c r="J32" s="13">
        <v>6.2560000000000002</v>
      </c>
      <c r="K32" s="31">
        <v>3.0550000000000002</v>
      </c>
      <c r="L32" s="28">
        <v>0</v>
      </c>
    </row>
    <row r="33" spans="1:21" x14ac:dyDescent="0.35">
      <c r="A33" s="13" t="s">
        <v>32</v>
      </c>
      <c r="B33" s="13">
        <v>6.577</v>
      </c>
      <c r="C33" s="13">
        <v>2990.8339999999998</v>
      </c>
      <c r="D33" s="13">
        <v>7.3999999999999996E-2</v>
      </c>
      <c r="E33" s="13">
        <v>0.25800000000000001</v>
      </c>
      <c r="F33" s="24">
        <f>AVERAGE(B33:B38)</f>
        <v>3728.7469999999998</v>
      </c>
      <c r="G33" s="22" t="s">
        <v>104</v>
      </c>
      <c r="H33" s="13">
        <v>0</v>
      </c>
      <c r="I33" s="13"/>
      <c r="J33" s="13">
        <v>1.2999999999999999E-2</v>
      </c>
      <c r="K33" s="31">
        <v>6.6000000000000003E-2</v>
      </c>
      <c r="L33" s="28">
        <f t="shared" ref="L33:L69" si="19">AVERAGE(H33:H38)</f>
        <v>1484.448166666667</v>
      </c>
    </row>
    <row r="34" spans="1:21" x14ac:dyDescent="0.35">
      <c r="A34" s="13" t="s">
        <v>33</v>
      </c>
      <c r="B34" s="13">
        <v>499.60399999999998</v>
      </c>
      <c r="C34" s="13">
        <v>2616.7020000000002</v>
      </c>
      <c r="D34" s="13">
        <v>1.163</v>
      </c>
      <c r="E34" s="13">
        <v>1.64</v>
      </c>
      <c r="F34" s="24">
        <f>AVERAGE(C33:C38)</f>
        <v>2171.8229999999999</v>
      </c>
      <c r="G34" s="22" t="s">
        <v>105</v>
      </c>
      <c r="H34" s="13">
        <v>344.67899999999997</v>
      </c>
      <c r="I34" s="13">
        <v>2584.3580000000002</v>
      </c>
      <c r="J34" s="13">
        <v>1.226</v>
      </c>
      <c r="K34" s="31">
        <v>2.3839999999999999</v>
      </c>
      <c r="L34" s="28">
        <f t="shared" ref="L34:L70" si="20">AVERAGE(I33:I38)</f>
        <v>2246.3776000000003</v>
      </c>
    </row>
    <row r="35" spans="1:21" x14ac:dyDescent="0.35">
      <c r="A35" s="13" t="s">
        <v>34</v>
      </c>
      <c r="B35" s="13">
        <v>1018.571</v>
      </c>
      <c r="C35" s="13">
        <v>2291.127</v>
      </c>
      <c r="D35" s="13">
        <v>5.181</v>
      </c>
      <c r="E35" s="13">
        <v>9.9380000000000006</v>
      </c>
      <c r="F35" s="24">
        <f>AVERAGE(D33:D38)</f>
        <v>9.4113333333333333</v>
      </c>
      <c r="G35" s="22" t="s">
        <v>106</v>
      </c>
      <c r="H35" s="13">
        <v>2075.42</v>
      </c>
      <c r="I35" s="13">
        <v>2100.7150000000001</v>
      </c>
      <c r="J35" s="13">
        <v>4.9800000000000004</v>
      </c>
      <c r="K35" s="31">
        <v>5.2969999999999997</v>
      </c>
      <c r="L35" s="28">
        <f t="shared" ref="L35:L71" si="21">AVERAGE(J33:J38)</f>
        <v>3.6196666666666668</v>
      </c>
      <c r="M35" s="22"/>
      <c r="N35" s="16"/>
      <c r="O35" s="16"/>
      <c r="P35" s="16"/>
      <c r="Q35" s="16"/>
    </row>
    <row r="36" spans="1:21" x14ac:dyDescent="0.35">
      <c r="A36" s="13" t="s">
        <v>35</v>
      </c>
      <c r="B36" s="13">
        <v>10319.092000000001</v>
      </c>
      <c r="C36" s="13">
        <v>1517.3630000000001</v>
      </c>
      <c r="D36" s="13">
        <v>23.503</v>
      </c>
      <c r="E36" s="13">
        <v>12.932</v>
      </c>
      <c r="F36" s="24">
        <f>AVERAGE(E33:E38)</f>
        <v>5.9115000000000002</v>
      </c>
      <c r="G36" s="22" t="s">
        <v>107</v>
      </c>
      <c r="H36" s="13">
        <v>3251.94</v>
      </c>
      <c r="I36" s="13">
        <v>1987.018</v>
      </c>
      <c r="J36" s="13">
        <v>7.6950000000000003</v>
      </c>
      <c r="K36" s="31">
        <v>5.141</v>
      </c>
      <c r="L36" s="28">
        <f t="shared" ref="L36:L72" si="22">AVERAGE(K33:K38)</f>
        <v>2.7318333333333338</v>
      </c>
      <c r="M36" s="22"/>
      <c r="N36" s="16"/>
      <c r="O36" s="16"/>
      <c r="P36" s="16"/>
      <c r="Q36" s="16"/>
    </row>
    <row r="37" spans="1:21" x14ac:dyDescent="0.35">
      <c r="A37" s="13" t="s">
        <v>36</v>
      </c>
      <c r="B37" s="13">
        <v>7655.4040000000005</v>
      </c>
      <c r="C37" s="13">
        <v>1633.5730000000001</v>
      </c>
      <c r="D37" s="13">
        <v>19.568000000000001</v>
      </c>
      <c r="E37" s="13">
        <v>7.71</v>
      </c>
      <c r="G37" s="22" t="s">
        <v>108</v>
      </c>
      <c r="H37" s="13">
        <v>2357.5300000000002</v>
      </c>
      <c r="I37" s="13">
        <v>2090.9119999999998</v>
      </c>
      <c r="J37" s="13">
        <v>5.6219999999999999</v>
      </c>
      <c r="K37" s="31">
        <v>2.258</v>
      </c>
      <c r="L37" s="28">
        <v>0</v>
      </c>
      <c r="M37" s="22"/>
      <c r="N37" s="16"/>
      <c r="O37" s="16"/>
      <c r="P37" s="16"/>
      <c r="Q37" s="16"/>
    </row>
    <row r="38" spans="1:21" x14ac:dyDescent="0.35">
      <c r="A38" s="13" t="s">
        <v>37</v>
      </c>
      <c r="B38" s="13">
        <v>2873.2339999999999</v>
      </c>
      <c r="C38" s="13">
        <v>1981.3389999999999</v>
      </c>
      <c r="D38" s="13">
        <v>6.9790000000000001</v>
      </c>
      <c r="E38" s="13">
        <v>2.9910000000000001</v>
      </c>
      <c r="G38" s="22" t="s">
        <v>109</v>
      </c>
      <c r="H38" s="13">
        <v>877.12</v>
      </c>
      <c r="I38" s="13">
        <v>2468.8850000000002</v>
      </c>
      <c r="J38" s="13">
        <v>2.1819999999999999</v>
      </c>
      <c r="K38" s="31">
        <v>1.2450000000000001</v>
      </c>
      <c r="L38" s="28">
        <v>0</v>
      </c>
      <c r="M38" s="22"/>
      <c r="N38" s="16"/>
      <c r="O38" s="16"/>
      <c r="P38" s="16"/>
      <c r="Q38" s="16"/>
    </row>
    <row r="39" spans="1:21" x14ac:dyDescent="0.35">
      <c r="A39" s="13" t="s">
        <v>38</v>
      </c>
      <c r="B39" s="13">
        <v>0.623</v>
      </c>
      <c r="C39" s="13">
        <v>2479.7359999999999</v>
      </c>
      <c r="D39" s="13">
        <v>0.19700000000000001</v>
      </c>
      <c r="E39" s="13">
        <v>0.73499999999999999</v>
      </c>
      <c r="F39" s="24">
        <f>AVERAGE(B39:B44)</f>
        <v>4501.657666666667</v>
      </c>
      <c r="G39" s="22" t="s">
        <v>110</v>
      </c>
      <c r="H39" s="13">
        <v>2.274</v>
      </c>
      <c r="I39" s="13">
        <v>3198.0830000000001</v>
      </c>
      <c r="J39" s="13">
        <v>9.1999999999999998E-2</v>
      </c>
      <c r="K39" s="31">
        <v>0.29199999999999998</v>
      </c>
      <c r="L39" s="28">
        <f t="shared" ref="L39" si="23">AVERAGE(H39:H44)</f>
        <v>3577.9950000000003</v>
      </c>
      <c r="M39" s="22"/>
      <c r="N39" s="16"/>
      <c r="O39" s="16"/>
      <c r="P39" s="16"/>
      <c r="Q39" s="16"/>
    </row>
    <row r="40" spans="1:21" x14ac:dyDescent="0.35">
      <c r="A40" s="13" t="s">
        <v>39</v>
      </c>
      <c r="B40" s="13">
        <v>859.029</v>
      </c>
      <c r="C40" s="13">
        <v>2425.3789999999999</v>
      </c>
      <c r="D40" s="13">
        <v>2.42</v>
      </c>
      <c r="E40" s="13">
        <v>3.6720000000000002</v>
      </c>
      <c r="F40" s="24">
        <f>AVERAGE(C39:C44)</f>
        <v>2025.0388333333333</v>
      </c>
      <c r="G40" s="22" t="s">
        <v>111</v>
      </c>
      <c r="H40" s="13">
        <v>344.01600000000002</v>
      </c>
      <c r="I40" s="13">
        <v>2725.2040000000002</v>
      </c>
      <c r="J40" s="13">
        <v>1.1379999999999999</v>
      </c>
      <c r="K40" s="31">
        <v>1.8580000000000001</v>
      </c>
      <c r="L40" s="28">
        <f t="shared" ref="L40" si="24">AVERAGE(I39:I44)</f>
        <v>2209.2315000000003</v>
      </c>
      <c r="M40" s="22"/>
      <c r="N40" s="16"/>
      <c r="O40" s="16"/>
      <c r="P40" s="16"/>
      <c r="Q40" s="16"/>
    </row>
    <row r="41" spans="1:21" x14ac:dyDescent="0.35">
      <c r="A41" s="13" t="s">
        <v>40</v>
      </c>
      <c r="B41" s="13">
        <v>1018.773</v>
      </c>
      <c r="C41" s="13">
        <v>2313.1660000000002</v>
      </c>
      <c r="D41" s="13">
        <v>6.5419999999999998</v>
      </c>
      <c r="E41" s="13">
        <v>13.718999999999999</v>
      </c>
      <c r="F41" s="24">
        <f>AVERAGE(D39:D44)</f>
        <v>11.574</v>
      </c>
      <c r="G41" s="22" t="s">
        <v>112</v>
      </c>
      <c r="H41" s="13">
        <v>3007.08</v>
      </c>
      <c r="I41" s="13">
        <v>1996.933</v>
      </c>
      <c r="J41" s="13">
        <v>7.7789999999999999</v>
      </c>
      <c r="K41" s="31">
        <v>5.657</v>
      </c>
      <c r="L41" s="28">
        <f t="shared" ref="L41" si="25">AVERAGE(J39:J44)</f>
        <v>8.8486666666666665</v>
      </c>
      <c r="M41" s="22"/>
      <c r="N41" s="16"/>
      <c r="O41" s="16"/>
      <c r="P41" s="16"/>
      <c r="Q41" s="16"/>
    </row>
    <row r="42" spans="1:21" x14ac:dyDescent="0.35">
      <c r="A42" s="13" t="s">
        <v>41</v>
      </c>
      <c r="B42" s="13">
        <v>13222.46</v>
      </c>
      <c r="C42" s="13">
        <v>1394.675</v>
      </c>
      <c r="D42" s="13">
        <v>30.914999999999999</v>
      </c>
      <c r="E42" s="13">
        <v>10.095000000000001</v>
      </c>
      <c r="F42" s="24">
        <f>AVERAGE(E39:E44)</f>
        <v>7.0473333333333317</v>
      </c>
      <c r="G42" s="22" t="s">
        <v>113</v>
      </c>
      <c r="H42" s="13">
        <v>9867.42</v>
      </c>
      <c r="I42" s="13">
        <v>1539.8989999999999</v>
      </c>
      <c r="J42" s="13">
        <v>22.844999999999999</v>
      </c>
      <c r="K42" s="31">
        <v>11.252000000000001</v>
      </c>
      <c r="L42" s="28">
        <f t="shared" ref="L42" si="26">AVERAGE(K39:K44)</f>
        <v>4.3246666666666664</v>
      </c>
    </row>
    <row r="43" spans="1:21" x14ac:dyDescent="0.35">
      <c r="A43" s="13" t="s">
        <v>42</v>
      </c>
      <c r="B43" s="13">
        <v>8703.8289999999997</v>
      </c>
      <c r="C43" s="13">
        <v>1568.5650000000001</v>
      </c>
      <c r="D43" s="13">
        <v>21.363</v>
      </c>
      <c r="E43" s="13">
        <v>9.7149999999999999</v>
      </c>
      <c r="G43" s="22" t="s">
        <v>114</v>
      </c>
      <c r="H43" s="13">
        <v>4164.53</v>
      </c>
      <c r="I43" s="13">
        <v>1887.41</v>
      </c>
      <c r="J43" s="13">
        <v>10.645</v>
      </c>
      <c r="K43" s="31">
        <v>3.6019999999999999</v>
      </c>
      <c r="L43" s="28">
        <v>0</v>
      </c>
      <c r="Q43" s="75" t="s">
        <v>200</v>
      </c>
      <c r="R43" s="75"/>
      <c r="T43" s="75" t="s">
        <v>201</v>
      </c>
      <c r="U43" s="75"/>
    </row>
    <row r="44" spans="1:21" x14ac:dyDescent="0.35">
      <c r="A44" s="13" t="s">
        <v>43</v>
      </c>
      <c r="B44" s="13">
        <v>3205.232</v>
      </c>
      <c r="C44" s="13">
        <v>1968.712</v>
      </c>
      <c r="D44" s="13">
        <v>8.0069999999999997</v>
      </c>
      <c r="E44" s="13">
        <v>4.3479999999999999</v>
      </c>
      <c r="G44" s="22" t="s">
        <v>115</v>
      </c>
      <c r="H44" s="13">
        <v>4082.65</v>
      </c>
      <c r="I44" s="13">
        <v>1907.86</v>
      </c>
      <c r="J44" s="13">
        <v>10.593</v>
      </c>
      <c r="K44" s="31">
        <v>3.2869999999999999</v>
      </c>
      <c r="L44" s="28">
        <v>0</v>
      </c>
      <c r="P44" s="33" t="s">
        <v>0</v>
      </c>
      <c r="Q44" s="17" t="s">
        <v>150</v>
      </c>
      <c r="R44" s="17" t="s">
        <v>149</v>
      </c>
      <c r="S44" s="33" t="s">
        <v>0</v>
      </c>
      <c r="T44" s="17" t="s">
        <v>150</v>
      </c>
      <c r="U44" s="17" t="s">
        <v>149</v>
      </c>
    </row>
    <row r="45" spans="1:21" x14ac:dyDescent="0.35">
      <c r="A45" s="13" t="s">
        <v>44</v>
      </c>
      <c r="B45" s="13">
        <v>0</v>
      </c>
      <c r="C45" s="13"/>
      <c r="D45" s="13">
        <v>5.0999999999999997E-2</v>
      </c>
      <c r="E45" s="13">
        <v>0.22700000000000001</v>
      </c>
      <c r="F45" s="24">
        <f>AVERAGE(B45:B50)</f>
        <v>3588.9176666666663</v>
      </c>
      <c r="G45" s="22" t="s">
        <v>116</v>
      </c>
      <c r="H45" s="13">
        <v>0</v>
      </c>
      <c r="I45" s="13"/>
      <c r="J45" s="13">
        <v>4.9000000000000002E-2</v>
      </c>
      <c r="K45" s="31">
        <v>0.21099999999999999</v>
      </c>
      <c r="L45" s="28">
        <f t="shared" si="16"/>
        <v>3929.9198333333334</v>
      </c>
      <c r="P45" s="34" t="s">
        <v>154</v>
      </c>
      <c r="Q45" s="25">
        <v>3063.5766666666664</v>
      </c>
      <c r="R45" s="25">
        <v>2241.3366666666666</v>
      </c>
      <c r="S45" s="34" t="s">
        <v>169</v>
      </c>
      <c r="T45" s="29">
        <v>4179.4073333333336</v>
      </c>
      <c r="U45" s="29">
        <v>2225.4830000000002</v>
      </c>
    </row>
    <row r="46" spans="1:21" x14ac:dyDescent="0.35">
      <c r="A46" s="13" t="s">
        <v>45</v>
      </c>
      <c r="B46" s="13">
        <v>393.88799999999998</v>
      </c>
      <c r="C46" s="13">
        <v>2530.4839999999999</v>
      </c>
      <c r="D46" s="13">
        <v>1.1279999999999999</v>
      </c>
      <c r="E46" s="13">
        <v>2.0699999999999998</v>
      </c>
      <c r="F46" s="24">
        <f>AVERAGE(C45:C50)</f>
        <v>1983.9849999999999</v>
      </c>
      <c r="G46" s="22" t="s">
        <v>117</v>
      </c>
      <c r="H46" s="13">
        <v>25.219000000000001</v>
      </c>
      <c r="I46" s="13">
        <v>3070.0189999999998</v>
      </c>
      <c r="J46" s="13">
        <v>0.159</v>
      </c>
      <c r="K46" s="31">
        <v>0.496</v>
      </c>
      <c r="L46" s="28">
        <f t="shared" ref="L46:L64" si="27">AVERAGE(I45:I50)</f>
        <v>2074.5281999999997</v>
      </c>
      <c r="P46" s="34" t="s">
        <v>155</v>
      </c>
      <c r="Q46" s="25">
        <v>4578.5826666666662</v>
      </c>
      <c r="R46" s="25">
        <v>1835.9068</v>
      </c>
      <c r="S46" s="34" t="s">
        <v>170</v>
      </c>
      <c r="T46" s="29">
        <v>2856.2886666666673</v>
      </c>
      <c r="U46" s="29">
        <v>2134.2726000000002</v>
      </c>
    </row>
    <row r="47" spans="1:21" x14ac:dyDescent="0.35">
      <c r="A47" s="13" t="s">
        <v>46</v>
      </c>
      <c r="B47" s="13">
        <v>2107.1329999999998</v>
      </c>
      <c r="C47" s="13">
        <v>2094.0219999999999</v>
      </c>
      <c r="D47" s="13">
        <v>5.3869999999999996</v>
      </c>
      <c r="E47" s="13">
        <v>4.1500000000000004</v>
      </c>
      <c r="F47" s="24">
        <f>AVERAGE(D45:D50)</f>
        <v>7.9443333333333328</v>
      </c>
      <c r="G47" s="22" t="s">
        <v>118</v>
      </c>
      <c r="H47" s="13">
        <v>1907.17</v>
      </c>
      <c r="I47" s="13">
        <v>2172.8180000000002</v>
      </c>
      <c r="J47" s="13">
        <v>5.0739999999999998</v>
      </c>
      <c r="K47" s="31">
        <v>4.2510000000000003</v>
      </c>
      <c r="L47" s="28">
        <f t="shared" si="17"/>
        <v>9.1888333333333332</v>
      </c>
      <c r="P47" s="34" t="s">
        <v>156</v>
      </c>
      <c r="Q47" s="25">
        <v>5951.1793333333335</v>
      </c>
      <c r="R47" s="25">
        <v>1817.9322</v>
      </c>
      <c r="S47" s="34" t="s">
        <v>171</v>
      </c>
      <c r="T47" s="29">
        <v>2591.2926666666667</v>
      </c>
      <c r="U47" s="29">
        <v>2237.4821666666667</v>
      </c>
    </row>
    <row r="48" spans="1:21" x14ac:dyDescent="0.35">
      <c r="A48" s="13" t="s">
        <v>47</v>
      </c>
      <c r="B48" s="13">
        <v>6639.607</v>
      </c>
      <c r="C48" s="13">
        <v>1597.3810000000001</v>
      </c>
      <c r="D48" s="13">
        <v>13.749000000000001</v>
      </c>
      <c r="E48" s="13">
        <v>10.125</v>
      </c>
      <c r="F48" s="24">
        <f>AVERAGE(E45:E50)</f>
        <v>5.2690000000000001</v>
      </c>
      <c r="G48" s="22" t="s">
        <v>119</v>
      </c>
      <c r="H48" s="13">
        <v>8879.0499999999993</v>
      </c>
      <c r="I48" s="13">
        <v>1566.1310000000001</v>
      </c>
      <c r="J48" s="13">
        <v>20.710999999999999</v>
      </c>
      <c r="K48" s="31">
        <v>11.057</v>
      </c>
      <c r="L48" s="28">
        <f t="shared" si="18"/>
        <v>5.7331666666666665</v>
      </c>
      <c r="P48" s="34" t="s">
        <v>157</v>
      </c>
      <c r="Q48" s="25">
        <v>3292.7191666666663</v>
      </c>
      <c r="R48" s="25">
        <v>2062.9415999999997</v>
      </c>
      <c r="S48" s="34" t="s">
        <v>172</v>
      </c>
      <c r="T48" s="29">
        <v>3178.8296666666665</v>
      </c>
      <c r="U48" s="29">
        <v>2015.7164</v>
      </c>
    </row>
    <row r="49" spans="1:21" x14ac:dyDescent="0.35">
      <c r="A49" s="13" t="s">
        <v>48</v>
      </c>
      <c r="B49" s="13">
        <v>10474.849</v>
      </c>
      <c r="C49" s="13">
        <v>1526.277</v>
      </c>
      <c r="D49" s="13">
        <v>22.966999999999999</v>
      </c>
      <c r="E49" s="13">
        <v>11.753</v>
      </c>
      <c r="G49" s="22" t="s">
        <v>120</v>
      </c>
      <c r="H49" s="13">
        <v>10190.02</v>
      </c>
      <c r="I49" s="13">
        <v>1510.423</v>
      </c>
      <c r="J49" s="13">
        <v>22.742000000000001</v>
      </c>
      <c r="K49" s="31">
        <v>15.77</v>
      </c>
      <c r="L49" s="28">
        <v>0</v>
      </c>
      <c r="P49" s="34" t="s">
        <v>158</v>
      </c>
      <c r="Q49" s="25">
        <v>5722.6808333333329</v>
      </c>
      <c r="R49" s="25">
        <v>1768.9559999999997</v>
      </c>
      <c r="S49" s="34" t="s">
        <v>173</v>
      </c>
      <c r="T49" s="29">
        <v>3464.1928333333331</v>
      </c>
      <c r="U49" s="29">
        <v>2022.9788000000001</v>
      </c>
    </row>
    <row r="50" spans="1:21" x14ac:dyDescent="0.35">
      <c r="A50" s="13" t="s">
        <v>49</v>
      </c>
      <c r="B50" s="13">
        <v>1918.029</v>
      </c>
      <c r="C50" s="13">
        <v>2171.761</v>
      </c>
      <c r="D50" s="13">
        <v>4.3840000000000003</v>
      </c>
      <c r="E50" s="13">
        <v>3.2890000000000001</v>
      </c>
      <c r="G50" s="22" t="s">
        <v>121</v>
      </c>
      <c r="H50" s="13">
        <v>2578.06</v>
      </c>
      <c r="I50" s="13">
        <v>2053.25</v>
      </c>
      <c r="J50" s="13">
        <v>6.3979999999999997</v>
      </c>
      <c r="K50" s="31">
        <v>2.6139999999999999</v>
      </c>
      <c r="L50" s="28">
        <v>0</v>
      </c>
      <c r="P50" s="34" t="s">
        <v>159</v>
      </c>
      <c r="Q50" s="25">
        <v>3728.7469999999998</v>
      </c>
      <c r="R50" s="25">
        <v>2171.8229999999999</v>
      </c>
      <c r="S50" s="34" t="s">
        <v>174</v>
      </c>
      <c r="T50" s="29">
        <v>1484.448166666667</v>
      </c>
      <c r="U50" s="29">
        <v>2246.3776000000003</v>
      </c>
    </row>
    <row r="51" spans="1:21" x14ac:dyDescent="0.35">
      <c r="A51" s="13" t="s">
        <v>50</v>
      </c>
      <c r="B51" s="13">
        <v>0</v>
      </c>
      <c r="C51" s="13"/>
      <c r="D51" s="13">
        <v>0.14099999999999999</v>
      </c>
      <c r="E51" s="13">
        <v>0.59499999999999997</v>
      </c>
      <c r="F51" s="24">
        <f>AVERAGE(B51:B56)</f>
        <v>2379.2313333333336</v>
      </c>
      <c r="G51" s="22" t="s">
        <v>122</v>
      </c>
      <c r="H51" s="13">
        <v>0</v>
      </c>
      <c r="I51" s="13"/>
      <c r="J51" s="13">
        <v>1.0999999999999999E-2</v>
      </c>
      <c r="K51" s="31">
        <v>5.2999999999999999E-2</v>
      </c>
      <c r="L51" s="28">
        <f t="shared" si="19"/>
        <v>1973.9233333333332</v>
      </c>
      <c r="P51" s="34" t="s">
        <v>160</v>
      </c>
      <c r="Q51" s="25">
        <v>4501.657666666667</v>
      </c>
      <c r="R51" s="25">
        <v>2025.0388333333333</v>
      </c>
      <c r="S51" s="34" t="s">
        <v>175</v>
      </c>
      <c r="T51" s="29">
        <v>3577.9950000000003</v>
      </c>
      <c r="U51" s="29">
        <v>2209.2315000000003</v>
      </c>
    </row>
    <row r="52" spans="1:21" x14ac:dyDescent="0.35">
      <c r="A52" s="13" t="s">
        <v>51</v>
      </c>
      <c r="B52" s="13">
        <v>341.86799999999999</v>
      </c>
      <c r="C52" s="13">
        <v>2721.8240000000001</v>
      </c>
      <c r="D52" s="13">
        <v>0.93700000000000006</v>
      </c>
      <c r="E52" s="13">
        <v>0.89400000000000002</v>
      </c>
      <c r="F52" s="24">
        <f>AVERAGE(C51:C56)</f>
        <v>2128.3664000000003</v>
      </c>
      <c r="G52" s="22" t="s">
        <v>123</v>
      </c>
      <c r="H52" s="13">
        <v>392.98</v>
      </c>
      <c r="I52" s="13">
        <v>2682.9110000000001</v>
      </c>
      <c r="J52" s="13">
        <v>1.244</v>
      </c>
      <c r="K52" s="31">
        <v>2.2170000000000001</v>
      </c>
      <c r="L52" s="28">
        <f t="shared" si="20"/>
        <v>2168.2388000000001</v>
      </c>
      <c r="P52" s="34" t="s">
        <v>161</v>
      </c>
      <c r="Q52" s="25">
        <v>3588.9176666666663</v>
      </c>
      <c r="R52" s="25">
        <v>1983.9849999999999</v>
      </c>
      <c r="S52" s="34" t="s">
        <v>176</v>
      </c>
      <c r="T52" s="29">
        <v>3929.9198333333334</v>
      </c>
      <c r="U52" s="29">
        <v>2074.5281999999997</v>
      </c>
    </row>
    <row r="53" spans="1:21" x14ac:dyDescent="0.35">
      <c r="A53" s="13" t="s">
        <v>52</v>
      </c>
      <c r="B53" s="13">
        <v>1272.9100000000001</v>
      </c>
      <c r="C53" s="13">
        <v>2244.7689999999998</v>
      </c>
      <c r="D53" s="13">
        <v>3.0409999999999999</v>
      </c>
      <c r="E53" s="13">
        <v>3.64</v>
      </c>
      <c r="F53" s="24">
        <f>AVERAGE(D51:D56)</f>
        <v>5.7323333333333331</v>
      </c>
      <c r="G53" s="22" t="s">
        <v>124</v>
      </c>
      <c r="H53" s="13">
        <v>1685.12</v>
      </c>
      <c r="I53" s="13">
        <v>2200.7759999999998</v>
      </c>
      <c r="J53" s="13">
        <v>4.4649999999999999</v>
      </c>
      <c r="K53" s="31">
        <v>4.0410000000000004</v>
      </c>
      <c r="L53" s="28">
        <f t="shared" si="21"/>
        <v>4.6379999999999999</v>
      </c>
      <c r="P53" s="34" t="s">
        <v>162</v>
      </c>
      <c r="Q53" s="25">
        <v>2379.2313333333336</v>
      </c>
      <c r="R53" s="25">
        <v>2128.3664000000003</v>
      </c>
      <c r="S53" s="34" t="s">
        <v>177</v>
      </c>
      <c r="T53" s="29">
        <v>1973.9233333333332</v>
      </c>
      <c r="U53" s="29">
        <v>2168.2388000000001</v>
      </c>
    </row>
    <row r="54" spans="1:21" x14ac:dyDescent="0.35">
      <c r="A54" s="13" t="s">
        <v>53</v>
      </c>
      <c r="B54" s="13">
        <v>7468.9269999999997</v>
      </c>
      <c r="C54" s="13">
        <v>1567.748</v>
      </c>
      <c r="D54" s="13">
        <v>17.72</v>
      </c>
      <c r="E54" s="13">
        <v>10.95</v>
      </c>
      <c r="F54" s="24">
        <f>AVERAGE(E51:E56)</f>
        <v>3.8155000000000001</v>
      </c>
      <c r="G54" s="22" t="s">
        <v>125</v>
      </c>
      <c r="H54" s="13">
        <v>4510.05</v>
      </c>
      <c r="I54" s="13">
        <v>1799.2260000000001</v>
      </c>
      <c r="J54" s="13">
        <v>9.1579999999999995</v>
      </c>
      <c r="K54" s="31">
        <v>10.163</v>
      </c>
      <c r="L54" s="28">
        <f t="shared" si="22"/>
        <v>3.9158333333333335</v>
      </c>
      <c r="P54" s="34" t="s">
        <v>163</v>
      </c>
      <c r="Q54" s="25">
        <v>1485.104</v>
      </c>
      <c r="R54" s="25">
        <v>2218.2148000000002</v>
      </c>
      <c r="S54" s="34" t="s">
        <v>178</v>
      </c>
      <c r="T54" s="29">
        <v>4712.4158333333335</v>
      </c>
      <c r="U54" s="29">
        <v>1986.8576</v>
      </c>
    </row>
    <row r="55" spans="1:21" x14ac:dyDescent="0.35">
      <c r="A55" s="13" t="s">
        <v>54</v>
      </c>
      <c r="B55" s="13">
        <v>2647.3690000000001</v>
      </c>
      <c r="C55" s="13">
        <v>2047.066</v>
      </c>
      <c r="D55" s="13">
        <v>6.3140000000000001</v>
      </c>
      <c r="E55" s="13">
        <v>3.5369999999999999</v>
      </c>
      <c r="G55" s="22" t="s">
        <v>126</v>
      </c>
      <c r="H55" s="13">
        <v>3791.84</v>
      </c>
      <c r="I55" s="13">
        <v>1894.857</v>
      </c>
      <c r="J55" s="13">
        <v>9.2260000000000009</v>
      </c>
      <c r="K55" s="31">
        <v>5.1310000000000002</v>
      </c>
      <c r="L55" s="28">
        <v>0</v>
      </c>
      <c r="P55" s="34" t="s">
        <v>164</v>
      </c>
      <c r="Q55" s="25">
        <v>3026.2488333333336</v>
      </c>
      <c r="R55" s="25">
        <v>2141.0755999999997</v>
      </c>
      <c r="S55" s="34" t="s">
        <v>179</v>
      </c>
      <c r="T55" s="29">
        <v>2119.2635</v>
      </c>
      <c r="U55" s="29">
        <v>2434.7453333333333</v>
      </c>
    </row>
    <row r="56" spans="1:21" x14ac:dyDescent="0.35">
      <c r="A56" s="13" t="s">
        <v>55</v>
      </c>
      <c r="B56" s="13">
        <v>2544.3139999999999</v>
      </c>
      <c r="C56" s="13">
        <v>2060.4250000000002</v>
      </c>
      <c r="D56" s="13">
        <v>6.2409999999999997</v>
      </c>
      <c r="E56" s="13">
        <v>3.2770000000000001</v>
      </c>
      <c r="G56" s="22" t="s">
        <v>127</v>
      </c>
      <c r="H56" s="13">
        <v>1463.55</v>
      </c>
      <c r="I56" s="13">
        <v>2263.424</v>
      </c>
      <c r="J56" s="13">
        <v>3.7240000000000002</v>
      </c>
      <c r="K56" s="31">
        <v>1.89</v>
      </c>
      <c r="L56" s="28">
        <v>0</v>
      </c>
      <c r="P56" s="34" t="s">
        <v>165</v>
      </c>
      <c r="Q56" s="25">
        <v>4880.1324999999997</v>
      </c>
      <c r="R56" s="25">
        <v>1857.9833999999998</v>
      </c>
      <c r="S56" s="34" t="s">
        <v>180</v>
      </c>
      <c r="T56" s="29">
        <v>1934.4783333333335</v>
      </c>
      <c r="U56" s="29">
        <v>2146.3375999999998</v>
      </c>
    </row>
    <row r="57" spans="1:21" x14ac:dyDescent="0.35">
      <c r="A57" s="13" t="s">
        <v>56</v>
      </c>
      <c r="B57" s="13">
        <v>0</v>
      </c>
      <c r="C57" s="13"/>
      <c r="D57" s="13">
        <v>1.7999999999999999E-2</v>
      </c>
      <c r="E57" s="13">
        <v>8.4000000000000005E-2</v>
      </c>
      <c r="F57" s="24">
        <f>AVERAGE(B57:B62)</f>
        <v>1485.104</v>
      </c>
      <c r="G57" s="22" t="s">
        <v>128</v>
      </c>
      <c r="H57" s="13">
        <v>0</v>
      </c>
      <c r="I57" s="13"/>
      <c r="J57" s="13">
        <v>4.9000000000000002E-2</v>
      </c>
      <c r="K57" s="31">
        <v>0.22700000000000001</v>
      </c>
      <c r="L57" s="28">
        <f t="shared" ref="L57" si="28">AVERAGE(H57:H62)</f>
        <v>4712.4158333333335</v>
      </c>
    </row>
    <row r="58" spans="1:21" x14ac:dyDescent="0.35">
      <c r="A58" s="13" t="s">
        <v>57</v>
      </c>
      <c r="B58" s="13">
        <v>944.85599999999999</v>
      </c>
      <c r="C58" s="13">
        <v>2395.7339999999999</v>
      </c>
      <c r="D58" s="13">
        <v>1.9850000000000001</v>
      </c>
      <c r="E58" s="13">
        <v>2.7080000000000002</v>
      </c>
      <c r="F58" s="24">
        <f>AVERAGE(C57:C62)</f>
        <v>2218.2148000000002</v>
      </c>
      <c r="G58" s="22" t="s">
        <v>129</v>
      </c>
      <c r="H58" s="13">
        <v>85.254999999999995</v>
      </c>
      <c r="I58" s="13">
        <v>2805.7530000000002</v>
      </c>
      <c r="J58" s="13">
        <v>0.30299999999999999</v>
      </c>
      <c r="K58" s="31">
        <v>0.64300000000000002</v>
      </c>
      <c r="L58" s="28">
        <f t="shared" ref="L58" si="29">AVERAGE(I57:I62)</f>
        <v>1986.8576</v>
      </c>
    </row>
    <row r="59" spans="1:21" x14ac:dyDescent="0.35">
      <c r="A59" s="13" t="s">
        <v>58</v>
      </c>
      <c r="B59" s="13">
        <v>1950.9960000000001</v>
      </c>
      <c r="C59" s="13">
        <v>2169.8560000000002</v>
      </c>
      <c r="D59" s="13">
        <v>4.7110000000000003</v>
      </c>
      <c r="E59" s="13">
        <v>3.274</v>
      </c>
      <c r="F59" s="24">
        <f>AVERAGE(D57:D62)</f>
        <v>4.1315</v>
      </c>
      <c r="G59" s="22" t="s">
        <v>130</v>
      </c>
      <c r="H59" s="13">
        <v>2658.98</v>
      </c>
      <c r="I59" s="13">
        <v>2020.84</v>
      </c>
      <c r="J59" s="13">
        <v>6.1070000000000002</v>
      </c>
      <c r="K59" s="31">
        <v>6.7460000000000004</v>
      </c>
      <c r="L59" s="28">
        <f t="shared" ref="L59" si="30">AVERAGE(J57:J62)</f>
        <v>9.2361666666666675</v>
      </c>
    </row>
    <row r="60" spans="1:21" x14ac:dyDescent="0.35">
      <c r="A60" s="13" t="s">
        <v>59</v>
      </c>
      <c r="B60" s="13">
        <v>2118.902</v>
      </c>
      <c r="C60" s="13">
        <v>2132.248</v>
      </c>
      <c r="D60" s="13">
        <v>6.7779999999999996</v>
      </c>
      <c r="E60" s="13">
        <v>5.7629999999999999</v>
      </c>
      <c r="F60" s="24">
        <f>AVERAGE(E57:E62)</f>
        <v>3.5611666666666668</v>
      </c>
      <c r="G60" s="22" t="s">
        <v>131</v>
      </c>
      <c r="H60" s="13">
        <v>17550.03</v>
      </c>
      <c r="I60" s="13">
        <v>1280.424</v>
      </c>
      <c r="J60" s="13">
        <v>30.006</v>
      </c>
      <c r="K60" s="31">
        <v>26.49</v>
      </c>
      <c r="L60" s="28">
        <f t="shared" ref="L60" si="31">AVERAGE(K57:K62)</f>
        <v>7.3881666666666668</v>
      </c>
    </row>
    <row r="61" spans="1:21" x14ac:dyDescent="0.35">
      <c r="A61" s="13" t="s">
        <v>60</v>
      </c>
      <c r="B61" s="13">
        <v>2827.3130000000001</v>
      </c>
      <c r="C61" s="13">
        <v>2021.713</v>
      </c>
      <c r="D61" s="13">
        <v>8.2680000000000007</v>
      </c>
      <c r="E61" s="13">
        <v>6.9470000000000001</v>
      </c>
      <c r="G61" s="22" t="s">
        <v>132</v>
      </c>
      <c r="H61" s="13">
        <v>5349.53</v>
      </c>
      <c r="I61" s="13">
        <v>1780.5160000000001</v>
      </c>
      <c r="J61" s="13">
        <v>12.422000000000001</v>
      </c>
      <c r="K61" s="31">
        <v>8.0890000000000004</v>
      </c>
      <c r="L61" s="28">
        <v>0</v>
      </c>
    </row>
    <row r="62" spans="1:21" x14ac:dyDescent="0.35">
      <c r="A62" s="13" t="s">
        <v>61</v>
      </c>
      <c r="B62" s="13">
        <v>1068.557</v>
      </c>
      <c r="C62" s="13">
        <v>2371.5230000000001</v>
      </c>
      <c r="D62" s="13">
        <v>3.0289999999999999</v>
      </c>
      <c r="E62" s="13">
        <v>2.5910000000000002</v>
      </c>
      <c r="G62" s="22" t="s">
        <v>133</v>
      </c>
      <c r="H62" s="13">
        <v>2630.7</v>
      </c>
      <c r="I62" s="13">
        <v>2046.7550000000001</v>
      </c>
      <c r="J62" s="13">
        <v>6.53</v>
      </c>
      <c r="K62" s="31">
        <v>2.1339999999999999</v>
      </c>
      <c r="L62" s="28">
        <v>0</v>
      </c>
    </row>
    <row r="63" spans="1:21" x14ac:dyDescent="0.35">
      <c r="A63" s="13" t="s">
        <v>62</v>
      </c>
      <c r="B63" s="13">
        <v>0</v>
      </c>
      <c r="C63" s="13"/>
      <c r="D63" s="13">
        <v>8.2000000000000003E-2</v>
      </c>
      <c r="E63" s="13">
        <v>0.35099999999999998</v>
      </c>
      <c r="F63" s="24">
        <f>AVERAGE(B63:B68)</f>
        <v>3026.2488333333336</v>
      </c>
      <c r="G63" s="22" t="s">
        <v>134</v>
      </c>
      <c r="H63" s="13">
        <v>0.58699999999999997</v>
      </c>
      <c r="I63" s="13">
        <v>3350.8130000000001</v>
      </c>
      <c r="J63" s="13">
        <v>8.8999999999999996E-2</v>
      </c>
      <c r="K63" s="31">
        <v>0.307</v>
      </c>
      <c r="L63" s="28">
        <f t="shared" si="16"/>
        <v>2119.2635</v>
      </c>
    </row>
    <row r="64" spans="1:21" x14ac:dyDescent="0.35">
      <c r="A64" s="13" t="s">
        <v>63</v>
      </c>
      <c r="B64" s="13">
        <v>23.588000000000001</v>
      </c>
      <c r="C64" s="13">
        <v>3047.596</v>
      </c>
      <c r="D64" s="13">
        <v>7.1999999999999995E-2</v>
      </c>
      <c r="E64" s="13">
        <v>0.123</v>
      </c>
      <c r="F64" s="24">
        <f>AVERAGE(C63:C68)</f>
        <v>2141.0755999999997</v>
      </c>
      <c r="G64" s="22" t="s">
        <v>135</v>
      </c>
      <c r="H64" s="13">
        <v>165.87899999999999</v>
      </c>
      <c r="I64" s="13">
        <v>2874.38</v>
      </c>
      <c r="J64" s="13">
        <v>0.55900000000000005</v>
      </c>
      <c r="K64" s="31">
        <v>1.258</v>
      </c>
      <c r="L64" s="28">
        <f t="shared" si="27"/>
        <v>2434.7453333333333</v>
      </c>
    </row>
    <row r="65" spans="1:12" x14ac:dyDescent="0.35">
      <c r="A65" s="13" t="s">
        <v>64</v>
      </c>
      <c r="B65" s="13">
        <v>885.55799999999999</v>
      </c>
      <c r="C65" s="13">
        <v>2352.7069999999999</v>
      </c>
      <c r="D65" s="13">
        <v>1.875</v>
      </c>
      <c r="E65" s="13">
        <v>3.1349999999999998</v>
      </c>
      <c r="F65" s="24">
        <f>AVERAGE(D63:D68)</f>
        <v>6.8765000000000001</v>
      </c>
      <c r="G65" s="22" t="s">
        <v>136</v>
      </c>
      <c r="H65" s="13">
        <v>846.40499999999997</v>
      </c>
      <c r="I65" s="13">
        <v>2456.9490000000001</v>
      </c>
      <c r="J65" s="13">
        <v>2.4209999999999998</v>
      </c>
      <c r="K65" s="31">
        <v>1.873</v>
      </c>
      <c r="L65" s="28">
        <f t="shared" si="17"/>
        <v>5.1663333333333332</v>
      </c>
    </row>
    <row r="66" spans="1:12" x14ac:dyDescent="0.35">
      <c r="A66" s="13" t="s">
        <v>65</v>
      </c>
      <c r="B66" s="13">
        <v>6270.0469999999996</v>
      </c>
      <c r="C66" s="13">
        <v>1650.5450000000001</v>
      </c>
      <c r="D66" s="13">
        <v>12.452</v>
      </c>
      <c r="E66" s="13">
        <v>9.0220000000000002</v>
      </c>
      <c r="F66" s="24">
        <f>AVERAGE(E63:E68)</f>
        <v>3.8121666666666663</v>
      </c>
      <c r="G66" s="22" t="s">
        <v>137</v>
      </c>
      <c r="H66" s="13">
        <v>1982.77</v>
      </c>
      <c r="I66" s="13">
        <v>2127.8629999999998</v>
      </c>
      <c r="J66" s="13">
        <v>4.952</v>
      </c>
      <c r="K66" s="31">
        <v>4.28</v>
      </c>
      <c r="L66" s="28">
        <f t="shared" si="18"/>
        <v>3.3359999999999999</v>
      </c>
    </row>
    <row r="67" spans="1:12" x14ac:dyDescent="0.35">
      <c r="A67" s="13" t="s">
        <v>66</v>
      </c>
      <c r="B67" s="13">
        <v>8634.3080000000009</v>
      </c>
      <c r="C67" s="13">
        <v>1571.7650000000001</v>
      </c>
      <c r="D67" s="13">
        <v>21.207999999999998</v>
      </c>
      <c r="E67" s="13">
        <v>7.3970000000000002</v>
      </c>
      <c r="G67" s="22" t="s">
        <v>138</v>
      </c>
      <c r="H67" s="13">
        <v>7914.79</v>
      </c>
      <c r="I67" s="13">
        <v>1634.1880000000001</v>
      </c>
      <c r="J67" s="13">
        <v>18.733000000000001</v>
      </c>
      <c r="K67" s="31">
        <v>9.5109999999999992</v>
      </c>
      <c r="L67" s="28">
        <v>0</v>
      </c>
    </row>
    <row r="68" spans="1:12" x14ac:dyDescent="0.35">
      <c r="A68" s="13" t="s">
        <v>67</v>
      </c>
      <c r="B68" s="13">
        <v>2343.9920000000002</v>
      </c>
      <c r="C68" s="13">
        <v>2082.7649999999999</v>
      </c>
      <c r="D68" s="13">
        <v>5.57</v>
      </c>
      <c r="E68" s="13">
        <v>2.8450000000000002</v>
      </c>
      <c r="G68" s="22" t="s">
        <v>139</v>
      </c>
      <c r="H68" s="13">
        <v>1805.15</v>
      </c>
      <c r="I68" s="13">
        <v>2164.279</v>
      </c>
      <c r="J68" s="13">
        <v>4.2439999999999998</v>
      </c>
      <c r="K68" s="31">
        <v>2.7869999999999999</v>
      </c>
      <c r="L68" s="28">
        <v>0</v>
      </c>
    </row>
    <row r="69" spans="1:12" x14ac:dyDescent="0.35">
      <c r="A69" s="13" t="s">
        <v>68</v>
      </c>
      <c r="B69" s="13">
        <v>0</v>
      </c>
      <c r="C69" s="13"/>
      <c r="D69" s="13">
        <v>0.09</v>
      </c>
      <c r="E69" s="13">
        <v>0.36599999999999999</v>
      </c>
      <c r="F69" s="24">
        <f>AVERAGE(B69:B74)</f>
        <v>4880.1324999999997</v>
      </c>
      <c r="G69" s="22" t="s">
        <v>140</v>
      </c>
      <c r="H69" s="13">
        <v>5.0000000000000001E-3</v>
      </c>
      <c r="I69" s="13"/>
      <c r="J69" s="13">
        <v>0.108</v>
      </c>
      <c r="K69" s="31">
        <v>0.442</v>
      </c>
      <c r="L69" s="28">
        <f t="shared" si="19"/>
        <v>1934.4783333333335</v>
      </c>
    </row>
    <row r="70" spans="1:12" x14ac:dyDescent="0.35">
      <c r="A70" s="13" t="s">
        <v>69</v>
      </c>
      <c r="B70" s="13">
        <v>937.952</v>
      </c>
      <c r="C70" s="13">
        <v>2400.0320000000002</v>
      </c>
      <c r="D70" s="13">
        <v>2.5640000000000001</v>
      </c>
      <c r="E70" s="13">
        <v>2.4750000000000001</v>
      </c>
      <c r="F70" s="24">
        <f>AVERAGE(C69:C74)</f>
        <v>1857.9833999999998</v>
      </c>
      <c r="G70" s="22" t="s">
        <v>141</v>
      </c>
      <c r="H70" s="13">
        <v>509.66500000000002</v>
      </c>
      <c r="I70" s="13">
        <v>2506.98</v>
      </c>
      <c r="J70" s="13">
        <v>1.5760000000000001</v>
      </c>
      <c r="K70" s="31">
        <v>3.222</v>
      </c>
      <c r="L70" s="28">
        <f t="shared" si="20"/>
        <v>2146.3375999999998</v>
      </c>
    </row>
    <row r="71" spans="1:12" x14ac:dyDescent="0.35">
      <c r="A71" s="13" t="s">
        <v>70</v>
      </c>
      <c r="B71" s="13">
        <v>1811.04</v>
      </c>
      <c r="C71" s="13">
        <v>2125.0889999999999</v>
      </c>
      <c r="D71" s="13">
        <v>4.3710000000000004</v>
      </c>
      <c r="E71" s="13">
        <v>4.5410000000000004</v>
      </c>
      <c r="F71" s="24">
        <f>AVERAGE(D69:D74)</f>
        <v>11.391500000000001</v>
      </c>
      <c r="G71" s="22" t="s">
        <v>142</v>
      </c>
      <c r="H71" s="13">
        <v>1200.8900000000001</v>
      </c>
      <c r="I71" s="13">
        <v>2323.1790000000001</v>
      </c>
      <c r="J71" s="13">
        <v>3.1059999999999999</v>
      </c>
      <c r="K71" s="31">
        <v>2.863</v>
      </c>
      <c r="L71" s="28">
        <f t="shared" si="21"/>
        <v>4.9198333333333331</v>
      </c>
    </row>
    <row r="72" spans="1:12" x14ac:dyDescent="0.35">
      <c r="A72" s="13" t="s">
        <v>71</v>
      </c>
      <c r="B72" s="13">
        <v>5502.3389999999999</v>
      </c>
      <c r="C72" s="13">
        <v>1745.163</v>
      </c>
      <c r="D72" s="13">
        <v>12.755000000000001</v>
      </c>
      <c r="E72" s="13">
        <v>9.1620000000000008</v>
      </c>
      <c r="F72" s="24">
        <f>AVERAGE(E69:E74)</f>
        <v>7.2283333333333344</v>
      </c>
      <c r="G72" s="22" t="s">
        <v>143</v>
      </c>
      <c r="H72" s="13">
        <v>4020.02</v>
      </c>
      <c r="I72" s="13">
        <v>1847.479</v>
      </c>
      <c r="J72" s="13">
        <v>9.2680000000000007</v>
      </c>
      <c r="K72" s="31">
        <v>5.95</v>
      </c>
      <c r="L72" s="28">
        <f t="shared" si="22"/>
        <v>3.2535000000000003</v>
      </c>
    </row>
    <row r="73" spans="1:12" x14ac:dyDescent="0.35">
      <c r="A73" s="13" t="s">
        <v>72</v>
      </c>
      <c r="B73" s="13">
        <v>10035.6</v>
      </c>
      <c r="C73" s="13">
        <v>1535.982</v>
      </c>
      <c r="D73" s="13">
        <v>24.09</v>
      </c>
      <c r="E73" s="13">
        <v>9.6890000000000001</v>
      </c>
      <c r="G73" s="22" t="s">
        <v>144</v>
      </c>
      <c r="H73" s="13">
        <v>3673.53</v>
      </c>
      <c r="I73" s="13">
        <v>1929.895</v>
      </c>
      <c r="J73" s="13">
        <v>9.6509999999999998</v>
      </c>
      <c r="K73" s="31">
        <v>4.7770000000000001</v>
      </c>
      <c r="L73" s="28">
        <v>0</v>
      </c>
    </row>
    <row r="74" spans="1:12" x14ac:dyDescent="0.35">
      <c r="A74" s="13" t="s">
        <v>73</v>
      </c>
      <c r="B74" s="13">
        <v>10993.864</v>
      </c>
      <c r="C74" s="13">
        <v>1483.6510000000001</v>
      </c>
      <c r="D74" s="13">
        <v>24.478999999999999</v>
      </c>
      <c r="E74" s="13">
        <v>17.137</v>
      </c>
      <c r="G74" s="22" t="s">
        <v>145</v>
      </c>
      <c r="H74" s="13">
        <v>2202.7600000000002</v>
      </c>
      <c r="I74" s="13">
        <v>2124.1550000000002</v>
      </c>
      <c r="J74" s="13">
        <v>5.81</v>
      </c>
      <c r="K74" s="31">
        <v>2.2669999999999999</v>
      </c>
      <c r="L74" s="28">
        <v>0</v>
      </c>
    </row>
    <row r="75" spans="1:12" x14ac:dyDescent="0.35">
      <c r="A75" s="4" t="s">
        <v>152</v>
      </c>
      <c r="B75" s="15">
        <f>SUM(B3:B74)</f>
        <v>277192.66599999991</v>
      </c>
      <c r="C75" s="15">
        <f t="shared" ref="C75:E75" si="32">SUM(C3:C74)</f>
        <v>127706</v>
      </c>
      <c r="D75" s="15">
        <f t="shared" si="32"/>
        <v>648.0540000000002</v>
      </c>
      <c r="E75" s="15">
        <f t="shared" si="32"/>
        <v>428.29899999999992</v>
      </c>
      <c r="G75" s="23" t="s">
        <v>152</v>
      </c>
      <c r="H75" s="15">
        <f>SUM(H3:H74)</f>
        <v>216014.731</v>
      </c>
      <c r="I75" s="15">
        <f t="shared" ref="I75:K75" si="33">SUM(I3:I74)</f>
        <v>138618.18999999992</v>
      </c>
      <c r="J75" s="15">
        <f t="shared" si="33"/>
        <v>499.72000000000014</v>
      </c>
      <c r="K75" s="32">
        <f t="shared" si="33"/>
        <v>336.58199999999999</v>
      </c>
      <c r="L75" s="28"/>
    </row>
    <row r="76" spans="1:12" x14ac:dyDescent="0.35">
      <c r="A76" s="4" t="s">
        <v>153</v>
      </c>
      <c r="B76" s="15">
        <f>AVERAGE(B3:B74)</f>
        <v>3849.8981388888878</v>
      </c>
      <c r="C76" s="15">
        <f t="shared" ref="C76:E76" si="34">AVERAGE(C3:C74)</f>
        <v>2027.0793650793651</v>
      </c>
      <c r="D76" s="15">
        <f t="shared" si="34"/>
        <v>9.0007500000000036</v>
      </c>
      <c r="E76" s="15">
        <f t="shared" si="34"/>
        <v>5.9485972222222214</v>
      </c>
      <c r="G76" s="23" t="s">
        <v>153</v>
      </c>
      <c r="H76" s="15">
        <f>AVERAGE(H3:H74)</f>
        <v>3000.2045972222222</v>
      </c>
      <c r="I76" s="15">
        <f>AVERAGE(I3:I74)</f>
        <v>2165.9092187499987</v>
      </c>
      <c r="J76" s="15">
        <f t="shared" ref="J76:K76" si="35">AVERAGE(J3:J74)</f>
        <v>6.9405555555555578</v>
      </c>
      <c r="K76" s="15">
        <f t="shared" si="35"/>
        <v>4.6747499999999995</v>
      </c>
      <c r="L76" s="28"/>
    </row>
  </sheetData>
  <mergeCells count="6">
    <mergeCell ref="B1:E1"/>
    <mergeCell ref="H1:K1"/>
    <mergeCell ref="N1:Q1"/>
    <mergeCell ref="T1:W1"/>
    <mergeCell ref="Q43:R43"/>
    <mergeCell ref="T43:U4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0"/>
  <sheetViews>
    <sheetView tabSelected="1" topLeftCell="A49" workbookViewId="0">
      <selection activeCell="D6" sqref="D6"/>
    </sheetView>
  </sheetViews>
  <sheetFormatPr defaultRowHeight="14.5" x14ac:dyDescent="0.35"/>
  <cols>
    <col min="1" max="1" width="22.08984375" customWidth="1"/>
    <col min="2" max="2" width="8.08984375" customWidth="1"/>
    <col min="3" max="3" width="7" bestFit="1" customWidth="1"/>
    <col min="4" max="4" width="17.81640625" customWidth="1"/>
    <col min="7" max="7" width="11.36328125" bestFit="1" customWidth="1"/>
  </cols>
  <sheetData>
    <row r="2" spans="1:7" x14ac:dyDescent="0.35">
      <c r="A2" s="50" t="s">
        <v>223</v>
      </c>
      <c r="B2" s="50" t="s">
        <v>224</v>
      </c>
      <c r="C2" s="50" t="s">
        <v>225</v>
      </c>
      <c r="D2" s="50" t="s">
        <v>226</v>
      </c>
    </row>
    <row r="3" spans="1:7" x14ac:dyDescent="0.35">
      <c r="A3" s="51" t="s">
        <v>227</v>
      </c>
      <c r="B3" s="51" t="s">
        <v>228</v>
      </c>
      <c r="C3" s="51">
        <v>4.9000000000000002E-2</v>
      </c>
      <c r="D3" s="51" t="s">
        <v>229</v>
      </c>
      <c r="G3" t="s">
        <v>235</v>
      </c>
    </row>
    <row r="4" spans="1:7" x14ac:dyDescent="0.35">
      <c r="A4" s="51" t="s">
        <v>230</v>
      </c>
      <c r="B4" s="51">
        <v>0.25</v>
      </c>
      <c r="C4" s="51">
        <v>9.7000000000000003E-2</v>
      </c>
      <c r="D4" s="51" t="s">
        <v>231</v>
      </c>
    </row>
    <row r="5" spans="1:7" x14ac:dyDescent="0.35">
      <c r="A5" s="51" t="s">
        <v>147</v>
      </c>
      <c r="B5" s="51" t="s">
        <v>228</v>
      </c>
      <c r="C5" s="51">
        <v>4.7E-2</v>
      </c>
      <c r="D5" s="51" t="s">
        <v>232</v>
      </c>
    </row>
    <row r="6" spans="1:7" x14ac:dyDescent="0.35">
      <c r="A6" s="51" t="s">
        <v>148</v>
      </c>
      <c r="B6" s="51" t="s">
        <v>233</v>
      </c>
      <c r="C6" s="51">
        <v>1.7000000000000001E-2</v>
      </c>
      <c r="D6" s="51" t="s">
        <v>234</v>
      </c>
    </row>
    <row r="8" spans="1:7" x14ac:dyDescent="0.35">
      <c r="A8" s="49"/>
    </row>
    <row r="9" spans="1:7" x14ac:dyDescent="0.35">
      <c r="A9" s="46"/>
    </row>
    <row r="10" spans="1:7" x14ac:dyDescent="0.35">
      <c r="A10" s="46"/>
    </row>
    <row r="11" spans="1:7" x14ac:dyDescent="0.35">
      <c r="A11" s="46"/>
    </row>
    <row r="12" spans="1:7" x14ac:dyDescent="0.35">
      <c r="A12" s="46"/>
    </row>
    <row r="13" spans="1:7" x14ac:dyDescent="0.35">
      <c r="A13" s="48"/>
    </row>
    <row r="14" spans="1:7" x14ac:dyDescent="0.35">
      <c r="A14" s="48"/>
    </row>
    <row r="15" spans="1:7" x14ac:dyDescent="0.35">
      <c r="A15" s="48"/>
    </row>
    <row r="16" spans="1:7" x14ac:dyDescent="0.35">
      <c r="A16" s="48"/>
    </row>
    <row r="17" spans="1:1" x14ac:dyDescent="0.35">
      <c r="A17" s="46"/>
    </row>
    <row r="18" spans="1:1" x14ac:dyDescent="0.35">
      <c r="A18" s="47"/>
    </row>
    <row r="19" spans="1:1" x14ac:dyDescent="0.35">
      <c r="A19" s="46"/>
    </row>
    <row r="20" spans="1:1" x14ac:dyDescent="0.35">
      <c r="A20" s="4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topLeftCell="A31" workbookViewId="0">
      <selection activeCell="D30" sqref="D30"/>
    </sheetView>
  </sheetViews>
  <sheetFormatPr defaultRowHeight="14.5" x14ac:dyDescent="0.35"/>
  <cols>
    <col min="2" max="2" width="13.7265625" bestFit="1" customWidth="1"/>
    <col min="3" max="3" width="10.54296875" bestFit="1" customWidth="1"/>
    <col min="4" max="4" width="27.08984375" customWidth="1"/>
    <col min="5" max="5" width="9.453125" bestFit="1" customWidth="1"/>
    <col min="7" max="7" width="16.36328125" customWidth="1"/>
    <col min="8" max="8" width="11.81640625" bestFit="1" customWidth="1"/>
    <col min="9" max="9" width="12.453125" bestFit="1" customWidth="1"/>
  </cols>
  <sheetData>
    <row r="1" spans="1:10" x14ac:dyDescent="0.35">
      <c r="A1" s="75" t="s">
        <v>200</v>
      </c>
      <c r="B1" s="75"/>
      <c r="C1" s="75" t="s">
        <v>201</v>
      </c>
      <c r="D1" s="75"/>
    </row>
    <row r="2" spans="1:10" x14ac:dyDescent="0.35">
      <c r="A2" s="17" t="s">
        <v>150</v>
      </c>
      <c r="B2" s="17" t="s">
        <v>149</v>
      </c>
      <c r="C2" s="17" t="s">
        <v>150</v>
      </c>
      <c r="D2" s="17" t="s">
        <v>149</v>
      </c>
      <c r="F2" s="17" t="s">
        <v>202</v>
      </c>
      <c r="G2" s="17" t="s">
        <v>203</v>
      </c>
      <c r="H2" s="17" t="s">
        <v>210</v>
      </c>
      <c r="I2" s="17" t="s">
        <v>211</v>
      </c>
      <c r="J2" s="17" t="s">
        <v>197</v>
      </c>
    </row>
    <row r="3" spans="1:10" x14ac:dyDescent="0.35">
      <c r="A3" s="25">
        <v>3063.5766666666664</v>
      </c>
      <c r="B3" s="25">
        <v>2241.3366666666666</v>
      </c>
      <c r="C3" s="29">
        <v>4179.4073333333336</v>
      </c>
      <c r="D3" s="29">
        <v>2225.4830000000002</v>
      </c>
      <c r="E3" t="s">
        <v>200</v>
      </c>
      <c r="F3" s="41">
        <f>CORREL(A3:A14,B3:B14)</f>
        <v>-0.87506284479150087</v>
      </c>
      <c r="G3" s="41">
        <v>9.6835227933028697E-5</v>
      </c>
      <c r="H3" s="41">
        <f>INTERCEPT(B3:B14,A3:A14)</f>
        <v>2443.62263127202</v>
      </c>
      <c r="I3" s="41">
        <f>SLOPE(B3:B14,A3:A14)</f>
        <v>-0.10974124276284213</v>
      </c>
      <c r="J3" s="41">
        <f>F3^2</f>
        <v>0.76573498233459436</v>
      </c>
    </row>
    <row r="4" spans="1:10" x14ac:dyDescent="0.35">
      <c r="A4" s="25">
        <v>4578.5826666666662</v>
      </c>
      <c r="B4" s="25">
        <v>1835.9068</v>
      </c>
      <c r="C4" s="29">
        <v>2856.2886666666673</v>
      </c>
      <c r="D4" s="29">
        <v>2134.2726000000002</v>
      </c>
      <c r="J4">
        <f>RSQ(B3:B14,A3:A14)</f>
        <v>0.76573498233459414</v>
      </c>
    </row>
    <row r="5" spans="1:10" ht="18.5" x14ac:dyDescent="0.45">
      <c r="A5" s="25">
        <v>5951.1793333333335</v>
      </c>
      <c r="B5" s="25">
        <v>1817.9322</v>
      </c>
      <c r="C5" s="29">
        <v>2591.2926666666667</v>
      </c>
      <c r="D5" s="29">
        <v>2237.4821666666667</v>
      </c>
      <c r="E5" t="s">
        <v>207</v>
      </c>
      <c r="G5" s="45" t="s">
        <v>213</v>
      </c>
      <c r="H5" s="79" t="s">
        <v>212</v>
      </c>
      <c r="I5" s="79"/>
    </row>
    <row r="6" spans="1:10" x14ac:dyDescent="0.35">
      <c r="A6" s="25">
        <v>3292.7191666666663</v>
      </c>
      <c r="B6" s="25">
        <v>2062.9415999999997</v>
      </c>
      <c r="C6" s="29">
        <v>3178.8296666666665</v>
      </c>
      <c r="D6" s="29">
        <v>2015.7164</v>
      </c>
    </row>
    <row r="7" spans="1:10" x14ac:dyDescent="0.35">
      <c r="A7" s="25">
        <v>5722.6808333333329</v>
      </c>
      <c r="B7" s="25">
        <v>1768.9559999999997</v>
      </c>
      <c r="C7" s="29">
        <v>3464.1928333333331</v>
      </c>
      <c r="D7" s="29">
        <v>2022.9788000000001</v>
      </c>
      <c r="F7" s="42" t="s">
        <v>204</v>
      </c>
      <c r="G7" s="42" t="s">
        <v>208</v>
      </c>
      <c r="H7" s="42">
        <v>10</v>
      </c>
      <c r="I7" s="77" t="s">
        <v>209</v>
      </c>
      <c r="J7" s="78"/>
    </row>
    <row r="8" spans="1:10" x14ac:dyDescent="0.35">
      <c r="A8" s="25">
        <v>3728.7469999999998</v>
      </c>
      <c r="B8" s="25">
        <v>2171.8229999999999</v>
      </c>
      <c r="C8" s="29">
        <v>1484.448166666667</v>
      </c>
      <c r="D8" s="29">
        <v>2246.3776000000003</v>
      </c>
      <c r="F8" s="42" t="s">
        <v>205</v>
      </c>
      <c r="G8" s="42">
        <f>(F3*SQRT(H7))/(SQRT(1-F3^2))</f>
        <v>-5.7172281517713595</v>
      </c>
      <c r="H8" s="42"/>
      <c r="I8" s="42"/>
      <c r="J8" s="42"/>
    </row>
    <row r="9" spans="1:10" x14ac:dyDescent="0.35">
      <c r="A9" s="25">
        <v>4501.657666666667</v>
      </c>
      <c r="B9" s="25">
        <v>2025.0388333333333</v>
      </c>
      <c r="C9" s="29">
        <v>3577.9950000000003</v>
      </c>
      <c r="D9" s="29">
        <v>2209.2315000000003</v>
      </c>
      <c r="F9" s="42" t="s">
        <v>206</v>
      </c>
      <c r="G9" s="42">
        <f>_xlfn.T.DIST(G8,H7,TRUE)</f>
        <v>9.683522793302867E-5</v>
      </c>
      <c r="H9" s="42"/>
      <c r="I9" s="42"/>
      <c r="J9" s="42"/>
    </row>
    <row r="10" spans="1:10" x14ac:dyDescent="0.35">
      <c r="A10" s="25">
        <v>3588.9176666666663</v>
      </c>
      <c r="B10" s="25">
        <v>1983.9849999999999</v>
      </c>
      <c r="C10" s="29">
        <v>3929.9198333333334</v>
      </c>
      <c r="D10" s="29">
        <v>2074.5281999999997</v>
      </c>
    </row>
    <row r="11" spans="1:10" ht="15.5" x14ac:dyDescent="0.35">
      <c r="A11" s="25">
        <v>2379.2313333333336</v>
      </c>
      <c r="B11" s="25">
        <v>2128.3664000000003</v>
      </c>
      <c r="C11" s="29">
        <v>1973.9233333333332</v>
      </c>
      <c r="D11" s="29">
        <v>2168.2388000000001</v>
      </c>
      <c r="F11" s="76" t="s">
        <v>217</v>
      </c>
      <c r="G11" s="76"/>
      <c r="H11" s="76"/>
    </row>
    <row r="12" spans="1:10" ht="15.5" x14ac:dyDescent="0.35">
      <c r="A12" s="25">
        <v>1485.104</v>
      </c>
      <c r="B12" s="25">
        <v>2218.2148000000002</v>
      </c>
      <c r="C12" s="29">
        <v>4712.4158333333335</v>
      </c>
      <c r="D12" s="29">
        <v>1986.8576</v>
      </c>
      <c r="F12" s="76" t="s">
        <v>218</v>
      </c>
      <c r="G12" s="76"/>
      <c r="H12" s="76"/>
    </row>
    <row r="13" spans="1:10" x14ac:dyDescent="0.35">
      <c r="A13" s="25">
        <v>3026.2488333333336</v>
      </c>
      <c r="B13" s="25">
        <v>2141.0755999999997</v>
      </c>
      <c r="C13" s="29">
        <v>2119.2635</v>
      </c>
      <c r="D13" s="29">
        <v>2434.7453333333333</v>
      </c>
    </row>
    <row r="14" spans="1:10" x14ac:dyDescent="0.35">
      <c r="A14" s="25">
        <v>4880.1324999999997</v>
      </c>
      <c r="B14" s="25">
        <v>1857.9833999999998</v>
      </c>
      <c r="C14" s="29">
        <v>1934.4783333333335</v>
      </c>
      <c r="D14" s="29">
        <v>2146.3375999999998</v>
      </c>
    </row>
    <row r="21" spans="1:4" x14ac:dyDescent="0.35">
      <c r="A21" s="42" t="s">
        <v>204</v>
      </c>
      <c r="B21" t="s">
        <v>214</v>
      </c>
    </row>
    <row r="22" spans="1:4" x14ac:dyDescent="0.35">
      <c r="A22" s="42" t="s">
        <v>205</v>
      </c>
    </row>
    <row r="23" spans="1:4" x14ac:dyDescent="0.35">
      <c r="A23" s="42" t="s">
        <v>206</v>
      </c>
    </row>
    <row r="29" spans="1:4" ht="15.5" x14ac:dyDescent="0.35">
      <c r="D29" s="44" t="s">
        <v>216</v>
      </c>
    </row>
    <row r="30" spans="1:4" ht="87" x14ac:dyDescent="0.35">
      <c r="D30" s="43" t="s">
        <v>215</v>
      </c>
    </row>
    <row r="31" spans="1:4" ht="72.5" x14ac:dyDescent="0.35">
      <c r="D31" s="43" t="s">
        <v>219</v>
      </c>
    </row>
    <row r="33" spans="4:4" ht="43.5" x14ac:dyDescent="0.35">
      <c r="D33" s="43" t="s">
        <v>220</v>
      </c>
    </row>
    <row r="35" spans="4:4" x14ac:dyDescent="0.35">
      <c r="D35" t="s">
        <v>221</v>
      </c>
    </row>
    <row r="37" spans="4:4" x14ac:dyDescent="0.35">
      <c r="D37" t="s">
        <v>222</v>
      </c>
    </row>
    <row r="53" spans="1:5" x14ac:dyDescent="0.35">
      <c r="B53" s="65" t="s">
        <v>168</v>
      </c>
      <c r="C53" s="65"/>
      <c r="D53" s="65"/>
      <c r="E53" s="65"/>
    </row>
    <row r="54" spans="1:5" x14ac:dyDescent="0.35">
      <c r="A54" s="33" t="s">
        <v>0</v>
      </c>
      <c r="B54" s="17" t="s">
        <v>150</v>
      </c>
      <c r="C54" s="17" t="s">
        <v>149</v>
      </c>
      <c r="D54" s="17" t="s">
        <v>147</v>
      </c>
      <c r="E54" s="17" t="s">
        <v>148</v>
      </c>
    </row>
    <row r="55" spans="1:5" x14ac:dyDescent="0.35">
      <c r="A55" s="34" t="s">
        <v>154</v>
      </c>
      <c r="B55" s="25">
        <v>3063.5766666666664</v>
      </c>
      <c r="C55" s="25">
        <v>2241.3366666666666</v>
      </c>
      <c r="D55" s="25">
        <v>7.2148333333333339</v>
      </c>
      <c r="E55" s="25">
        <v>6.0246666666666675</v>
      </c>
    </row>
    <row r="56" spans="1:5" x14ac:dyDescent="0.35">
      <c r="A56" s="34" t="s">
        <v>155</v>
      </c>
      <c r="B56" s="25">
        <v>4578.5826666666662</v>
      </c>
      <c r="C56" s="25">
        <v>1835.9068</v>
      </c>
      <c r="D56" s="25">
        <v>10.174666666666667</v>
      </c>
      <c r="E56" s="25">
        <v>7.1318333333333328</v>
      </c>
    </row>
    <row r="57" spans="1:5" x14ac:dyDescent="0.35">
      <c r="A57" s="34" t="s">
        <v>156</v>
      </c>
      <c r="B57" s="25">
        <v>5951.1793333333335</v>
      </c>
      <c r="C57" s="25">
        <v>1817.9322</v>
      </c>
      <c r="D57" s="25">
        <v>12.997833333333332</v>
      </c>
      <c r="E57" s="25">
        <v>7.7138333333333335</v>
      </c>
    </row>
    <row r="58" spans="1:5" x14ac:dyDescent="0.35">
      <c r="A58" s="34" t="s">
        <v>157</v>
      </c>
      <c r="B58" s="25">
        <v>3292.7191666666663</v>
      </c>
      <c r="C58" s="25">
        <v>2062.9415999999997</v>
      </c>
      <c r="D58" s="25">
        <v>7.9683333333333337</v>
      </c>
      <c r="E58" s="25">
        <v>4.9576666666666673</v>
      </c>
    </row>
    <row r="59" spans="1:5" x14ac:dyDescent="0.35">
      <c r="A59" s="34" t="s">
        <v>158</v>
      </c>
      <c r="B59" s="25">
        <v>5722.6808333333329</v>
      </c>
      <c r="C59" s="25">
        <v>1768.9559999999997</v>
      </c>
      <c r="D59" s="25">
        <v>12.591833333333334</v>
      </c>
      <c r="E59" s="25">
        <v>8.910166666666667</v>
      </c>
    </row>
    <row r="60" spans="1:5" x14ac:dyDescent="0.35">
      <c r="A60" s="34" t="s">
        <v>159</v>
      </c>
      <c r="B60" s="25">
        <v>3728.7469999999998</v>
      </c>
      <c r="C60" s="25">
        <v>2171.8229999999999</v>
      </c>
      <c r="D60" s="25">
        <v>9.4113333333333333</v>
      </c>
      <c r="E60" s="25">
        <v>5.9115000000000002</v>
      </c>
    </row>
    <row r="61" spans="1:5" x14ac:dyDescent="0.35">
      <c r="A61" s="34" t="s">
        <v>160</v>
      </c>
      <c r="B61" s="25">
        <v>4501.657666666667</v>
      </c>
      <c r="C61" s="25">
        <v>2025.0388333333333</v>
      </c>
      <c r="D61" s="25">
        <v>11.574</v>
      </c>
      <c r="E61" s="25">
        <v>7.0473333333333317</v>
      </c>
    </row>
    <row r="62" spans="1:5" x14ac:dyDescent="0.35">
      <c r="A62" s="34" t="s">
        <v>161</v>
      </c>
      <c r="B62" s="25">
        <v>3588.9176666666663</v>
      </c>
      <c r="C62" s="25">
        <v>1983.9849999999999</v>
      </c>
      <c r="D62" s="25">
        <v>7.9443333333333328</v>
      </c>
      <c r="E62" s="25">
        <v>5.2690000000000001</v>
      </c>
    </row>
    <row r="63" spans="1:5" x14ac:dyDescent="0.35">
      <c r="A63" s="34" t="s">
        <v>162</v>
      </c>
      <c r="B63" s="25">
        <v>2379.2313333333336</v>
      </c>
      <c r="C63" s="25">
        <v>2128.3664000000003</v>
      </c>
      <c r="D63" s="25">
        <v>5.7323333333333331</v>
      </c>
      <c r="E63" s="25">
        <v>3.8155000000000001</v>
      </c>
    </row>
    <row r="64" spans="1:5" x14ac:dyDescent="0.35">
      <c r="A64" s="34" t="s">
        <v>163</v>
      </c>
      <c r="B64" s="25">
        <v>1485.104</v>
      </c>
      <c r="C64" s="25">
        <v>2218.2148000000002</v>
      </c>
      <c r="D64" s="25">
        <v>4.1315</v>
      </c>
      <c r="E64" s="25">
        <v>3.5611666666666668</v>
      </c>
    </row>
    <row r="65" spans="1:5" x14ac:dyDescent="0.35">
      <c r="A65" s="34" t="s">
        <v>164</v>
      </c>
      <c r="B65" s="25">
        <v>3026.2488333333336</v>
      </c>
      <c r="C65" s="25">
        <v>2141.0755999999997</v>
      </c>
      <c r="D65" s="25">
        <v>6.8765000000000001</v>
      </c>
      <c r="E65" s="25">
        <v>3.8121666666666663</v>
      </c>
    </row>
    <row r="66" spans="1:5" x14ac:dyDescent="0.35">
      <c r="A66" s="34" t="s">
        <v>165</v>
      </c>
      <c r="B66" s="25">
        <v>4880.1324999999997</v>
      </c>
      <c r="C66" s="25">
        <v>1857.9833999999998</v>
      </c>
      <c r="D66" s="25">
        <v>11.391500000000001</v>
      </c>
      <c r="E66" s="25">
        <v>7.2283333333333344</v>
      </c>
    </row>
    <row r="67" spans="1:5" x14ac:dyDescent="0.35">
      <c r="A67" s="27" t="s">
        <v>152</v>
      </c>
      <c r="B67" s="35">
        <f>SUM(B55:B66)</f>
        <v>46198.777666666661</v>
      </c>
      <c r="C67" s="35">
        <f t="shared" ref="C67:E67" si="0">SUM(C55:C66)</f>
        <v>24253.560300000005</v>
      </c>
      <c r="D67" s="35">
        <f t="shared" si="0"/>
        <v>108.00900000000001</v>
      </c>
      <c r="E67" s="35">
        <f t="shared" si="0"/>
        <v>71.383166666666682</v>
      </c>
    </row>
    <row r="68" spans="1:5" x14ac:dyDescent="0.35">
      <c r="A68" s="27" t="s">
        <v>167</v>
      </c>
      <c r="B68" s="35">
        <f>AVERAGE(B55:B66)</f>
        <v>3849.8981388888883</v>
      </c>
      <c r="C68" s="35">
        <f t="shared" ref="C68:E68" si="1">AVERAGE(C55:C66)</f>
        <v>2021.1300250000004</v>
      </c>
      <c r="D68" s="35">
        <f t="shared" si="1"/>
        <v>9.0007500000000018</v>
      </c>
      <c r="E68" s="35">
        <f t="shared" si="1"/>
        <v>5.9485972222222232</v>
      </c>
    </row>
  </sheetData>
  <mergeCells count="7">
    <mergeCell ref="B53:E53"/>
    <mergeCell ref="F12:H12"/>
    <mergeCell ref="A1:B1"/>
    <mergeCell ref="C1:D1"/>
    <mergeCell ref="I7:J7"/>
    <mergeCell ref="H5:I5"/>
    <mergeCell ref="F11:H11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2"/>
  <sheetViews>
    <sheetView topLeftCell="J13" workbookViewId="0">
      <selection activeCell="S25" sqref="S25"/>
    </sheetView>
  </sheetViews>
  <sheetFormatPr defaultRowHeight="14.5" x14ac:dyDescent="0.35"/>
  <cols>
    <col min="2" max="2" width="10.54296875" bestFit="1" customWidth="1"/>
    <col min="3" max="3" width="13.7265625" bestFit="1" customWidth="1"/>
    <col min="7" max="7" width="9.453125" bestFit="1" customWidth="1"/>
    <col min="8" max="9" width="10.54296875" bestFit="1" customWidth="1"/>
    <col min="10" max="10" width="10.54296875" customWidth="1"/>
    <col min="11" max="11" width="9.453125" bestFit="1" customWidth="1"/>
    <col min="12" max="12" width="20.54296875" bestFit="1" customWidth="1"/>
    <col min="13" max="13" width="16.36328125" customWidth="1"/>
  </cols>
  <sheetData>
    <row r="1" spans="1:14" x14ac:dyDescent="0.35">
      <c r="A1" s="80" t="s">
        <v>237</v>
      </c>
      <c r="B1" s="80"/>
      <c r="C1" s="80"/>
      <c r="D1" s="80"/>
      <c r="E1" s="80"/>
    </row>
    <row r="2" spans="1:14" x14ac:dyDescent="0.35">
      <c r="A2" s="12" t="s">
        <v>0</v>
      </c>
      <c r="B2" s="12" t="s">
        <v>150</v>
      </c>
      <c r="C2" s="12" t="s">
        <v>149</v>
      </c>
      <c r="D2" s="12" t="s">
        <v>147</v>
      </c>
      <c r="E2" s="12" t="s">
        <v>148</v>
      </c>
      <c r="G2" s="81" t="s">
        <v>240</v>
      </c>
      <c r="H2" s="81"/>
      <c r="I2" s="82" t="s">
        <v>239</v>
      </c>
      <c r="J2" s="82"/>
      <c r="K2" s="59"/>
      <c r="L2" s="60" t="s">
        <v>239</v>
      </c>
      <c r="M2" s="58" t="s">
        <v>240</v>
      </c>
      <c r="N2" s="58"/>
    </row>
    <row r="3" spans="1:14" x14ac:dyDescent="0.35">
      <c r="A3" s="13" t="s">
        <v>2</v>
      </c>
      <c r="B3" s="13">
        <v>1.6819999999999999</v>
      </c>
      <c r="C3" s="13">
        <v>3114.192</v>
      </c>
      <c r="D3" s="13">
        <v>0.1</v>
      </c>
      <c r="E3" s="13">
        <v>0.36</v>
      </c>
      <c r="G3" s="53" t="s">
        <v>238</v>
      </c>
      <c r="H3" s="12" t="s">
        <v>150</v>
      </c>
      <c r="I3" s="56" t="s">
        <v>238</v>
      </c>
      <c r="J3" s="56" t="s">
        <v>150</v>
      </c>
      <c r="K3" s="63"/>
      <c r="L3" s="60" t="s">
        <v>242</v>
      </c>
      <c r="M3" s="58" t="s">
        <v>243</v>
      </c>
    </row>
    <row r="4" spans="1:14" x14ac:dyDescent="0.35">
      <c r="A4" s="13" t="s">
        <v>3</v>
      </c>
      <c r="B4" s="13">
        <v>101.711</v>
      </c>
      <c r="C4" s="13">
        <v>2879.569</v>
      </c>
      <c r="D4" s="13">
        <v>0.67900000000000005</v>
      </c>
      <c r="E4" s="13">
        <v>1.6279999999999999</v>
      </c>
      <c r="G4" s="53" t="s">
        <v>169</v>
      </c>
      <c r="H4" s="55">
        <v>4179.4073333333336</v>
      </c>
      <c r="I4" s="56" t="s">
        <v>154</v>
      </c>
      <c r="J4" s="57">
        <v>3063.5766666666664</v>
      </c>
      <c r="K4" s="61">
        <v>1</v>
      </c>
      <c r="L4" s="62">
        <v>3063.5766666666664</v>
      </c>
      <c r="M4" s="55">
        <v>4179.4073333333336</v>
      </c>
    </row>
    <row r="5" spans="1:14" x14ac:dyDescent="0.35">
      <c r="A5" s="13" t="s">
        <v>4</v>
      </c>
      <c r="B5" s="13">
        <v>4434.0389999999998</v>
      </c>
      <c r="C5" s="13">
        <v>1831.175</v>
      </c>
      <c r="D5" s="13">
        <v>8.3729999999999993</v>
      </c>
      <c r="E5" s="13">
        <v>8.8070000000000004</v>
      </c>
      <c r="G5" s="53" t="s">
        <v>170</v>
      </c>
      <c r="H5" s="55">
        <v>2856.2886666666673</v>
      </c>
      <c r="I5" s="56" t="s">
        <v>155</v>
      </c>
      <c r="J5" s="57">
        <v>4578.5826666666662</v>
      </c>
      <c r="K5" s="61">
        <v>2</v>
      </c>
      <c r="L5" s="62">
        <v>4578.5826666666662</v>
      </c>
      <c r="M5" s="55">
        <v>2856.2886666666673</v>
      </c>
    </row>
    <row r="6" spans="1:14" x14ac:dyDescent="0.35">
      <c r="A6" s="13" t="s">
        <v>5</v>
      </c>
      <c r="B6" s="13">
        <v>6367.9390000000003</v>
      </c>
      <c r="C6" s="13">
        <v>1670.575</v>
      </c>
      <c r="D6" s="13">
        <v>16.73</v>
      </c>
      <c r="E6" s="13">
        <v>13.073</v>
      </c>
      <c r="G6" s="53" t="s">
        <v>171</v>
      </c>
      <c r="H6" s="55">
        <v>2591.2926666666667</v>
      </c>
      <c r="I6" s="56" t="s">
        <v>156</v>
      </c>
      <c r="J6" s="57">
        <v>5951.1793333333335</v>
      </c>
      <c r="K6" s="61">
        <v>3</v>
      </c>
      <c r="L6" s="62">
        <v>5951.1793333333335</v>
      </c>
      <c r="M6" s="55">
        <v>2591.2926666666667</v>
      </c>
    </row>
    <row r="7" spans="1:14" x14ac:dyDescent="0.35">
      <c r="A7" s="13" t="s">
        <v>6</v>
      </c>
      <c r="B7" s="13">
        <v>5937.02</v>
      </c>
      <c r="C7" s="13">
        <v>1716.9449999999999</v>
      </c>
      <c r="D7" s="13">
        <v>13.804</v>
      </c>
      <c r="E7" s="13">
        <v>9.8680000000000003</v>
      </c>
      <c r="G7" s="53" t="s">
        <v>172</v>
      </c>
      <c r="H7" s="55">
        <v>3178.8296666666665</v>
      </c>
      <c r="I7" s="56" t="s">
        <v>157</v>
      </c>
      <c r="J7" s="57">
        <v>3292.7191666666663</v>
      </c>
      <c r="K7" s="61">
        <v>4</v>
      </c>
      <c r="L7" s="62">
        <v>3292.7191666666663</v>
      </c>
      <c r="M7" s="55">
        <v>3178.8296666666665</v>
      </c>
    </row>
    <row r="8" spans="1:14" x14ac:dyDescent="0.35">
      <c r="A8" s="13" t="s">
        <v>7</v>
      </c>
      <c r="B8" s="13">
        <v>1539.069</v>
      </c>
      <c r="C8" s="13">
        <v>2235.5639999999999</v>
      </c>
      <c r="D8" s="13">
        <v>3.6030000000000002</v>
      </c>
      <c r="E8" s="13">
        <v>2.4119999999999999</v>
      </c>
      <c r="G8" s="53" t="s">
        <v>173</v>
      </c>
      <c r="H8" s="55">
        <v>3464.1928333333331</v>
      </c>
      <c r="I8" s="56" t="s">
        <v>158</v>
      </c>
      <c r="J8" s="57">
        <v>5722.6808333333329</v>
      </c>
      <c r="K8" s="61">
        <v>5</v>
      </c>
      <c r="L8" s="62">
        <v>5722.6808333333329</v>
      </c>
      <c r="M8" s="55">
        <v>3464.1928333333331</v>
      </c>
    </row>
    <row r="9" spans="1:14" x14ac:dyDescent="0.35">
      <c r="A9" s="13" t="s">
        <v>8</v>
      </c>
      <c r="B9" s="13">
        <v>0</v>
      </c>
      <c r="C9" s="13"/>
      <c r="D9" s="13">
        <v>6.3E-2</v>
      </c>
      <c r="E9" s="13">
        <v>0.25800000000000001</v>
      </c>
      <c r="G9" s="53" t="s">
        <v>174</v>
      </c>
      <c r="H9" s="55">
        <v>1484.448166666667</v>
      </c>
      <c r="I9" s="56" t="s">
        <v>159</v>
      </c>
      <c r="J9" s="57">
        <v>3728.7469999999998</v>
      </c>
      <c r="K9" s="61">
        <v>6</v>
      </c>
      <c r="L9" s="62">
        <v>3728.7469999999998</v>
      </c>
      <c r="M9" s="55">
        <v>1484.448166666667</v>
      </c>
    </row>
    <row r="10" spans="1:14" x14ac:dyDescent="0.35">
      <c r="A10" s="13" t="s">
        <v>9</v>
      </c>
      <c r="B10" s="13">
        <v>2039.249</v>
      </c>
      <c r="C10" s="13">
        <v>2045.117</v>
      </c>
      <c r="D10" s="13">
        <v>4.7770000000000001</v>
      </c>
      <c r="E10" s="13">
        <v>8.282</v>
      </c>
      <c r="G10" s="53" t="s">
        <v>175</v>
      </c>
      <c r="H10" s="55">
        <v>3577.9950000000003</v>
      </c>
      <c r="I10" s="56" t="s">
        <v>160</v>
      </c>
      <c r="J10" s="57">
        <v>4501.657666666667</v>
      </c>
      <c r="K10" s="61">
        <v>7</v>
      </c>
      <c r="L10" s="62">
        <v>4501.657666666667</v>
      </c>
      <c r="M10" s="55">
        <v>3577.9950000000003</v>
      </c>
    </row>
    <row r="11" spans="1:14" x14ac:dyDescent="0.35">
      <c r="A11" s="13" t="s">
        <v>10</v>
      </c>
      <c r="B11" s="13">
        <v>3357.011</v>
      </c>
      <c r="C11" s="13">
        <v>1937.1279999999999</v>
      </c>
      <c r="D11" s="13">
        <v>8.1020000000000003</v>
      </c>
      <c r="E11" s="13">
        <v>4.6829999999999998</v>
      </c>
      <c r="G11" s="53" t="s">
        <v>176</v>
      </c>
      <c r="H11" s="55">
        <v>3929.9198333333334</v>
      </c>
      <c r="I11" s="56" t="s">
        <v>161</v>
      </c>
      <c r="J11" s="57">
        <v>3588.9176666666663</v>
      </c>
      <c r="K11" s="61">
        <v>8</v>
      </c>
      <c r="L11" s="62">
        <v>3588.9176666666663</v>
      </c>
      <c r="M11" s="55">
        <v>3929.9198333333334</v>
      </c>
    </row>
    <row r="12" spans="1:14" x14ac:dyDescent="0.35">
      <c r="A12" s="13" t="s">
        <v>11</v>
      </c>
      <c r="B12" s="13">
        <v>13520.546</v>
      </c>
      <c r="C12" s="13">
        <v>1392.2639999999999</v>
      </c>
      <c r="D12" s="13">
        <v>28.805</v>
      </c>
      <c r="E12" s="13">
        <v>16.959</v>
      </c>
      <c r="G12" s="53" t="s">
        <v>177</v>
      </c>
      <c r="H12" s="55">
        <v>1973.9233333333332</v>
      </c>
      <c r="I12" s="56" t="s">
        <v>162</v>
      </c>
      <c r="J12" s="57">
        <v>2379.2313333333336</v>
      </c>
      <c r="K12" s="61">
        <v>9</v>
      </c>
      <c r="L12" s="62">
        <v>2379.2313333333336</v>
      </c>
      <c r="M12" s="55">
        <v>1973.9233333333332</v>
      </c>
    </row>
    <row r="13" spans="1:14" x14ac:dyDescent="0.35">
      <c r="A13" s="13" t="s">
        <v>12</v>
      </c>
      <c r="B13" s="13">
        <v>6483.2839999999997</v>
      </c>
      <c r="C13" s="13">
        <v>1672.87</v>
      </c>
      <c r="D13" s="13">
        <v>14.244</v>
      </c>
      <c r="E13" s="13">
        <v>10.638</v>
      </c>
      <c r="G13" s="53" t="s">
        <v>178</v>
      </c>
      <c r="H13" s="55">
        <v>4712.4158333333335</v>
      </c>
      <c r="I13" s="56" t="s">
        <v>163</v>
      </c>
      <c r="J13" s="57">
        <v>1485.104</v>
      </c>
      <c r="K13" s="61">
        <v>10</v>
      </c>
      <c r="L13" s="62">
        <v>1485.104</v>
      </c>
      <c r="M13" s="55">
        <v>4712.4158333333335</v>
      </c>
    </row>
    <row r="14" spans="1:14" x14ac:dyDescent="0.35">
      <c r="A14" s="13" t="s">
        <v>13</v>
      </c>
      <c r="B14" s="13">
        <v>2071.4059999999999</v>
      </c>
      <c r="C14" s="13">
        <v>2132.1550000000002</v>
      </c>
      <c r="D14" s="13">
        <v>5.0570000000000004</v>
      </c>
      <c r="E14" s="13">
        <v>1.9710000000000001</v>
      </c>
      <c r="G14" s="53" t="s">
        <v>179</v>
      </c>
      <c r="H14" s="55">
        <v>2119.2635</v>
      </c>
      <c r="I14" s="56" t="s">
        <v>164</v>
      </c>
      <c r="J14" s="57">
        <v>3026.2488333333336</v>
      </c>
      <c r="K14" s="61">
        <v>11</v>
      </c>
      <c r="L14" s="62">
        <v>3026.2488333333336</v>
      </c>
      <c r="M14" s="55">
        <v>2119.2635</v>
      </c>
    </row>
    <row r="15" spans="1:14" x14ac:dyDescent="0.35">
      <c r="A15" s="13" t="s">
        <v>14</v>
      </c>
      <c r="B15" s="13">
        <v>0</v>
      </c>
      <c r="C15" s="13"/>
      <c r="D15" s="13">
        <v>7.8E-2</v>
      </c>
      <c r="E15" s="13">
        <v>0.28799999999999998</v>
      </c>
      <c r="G15" s="53" t="s">
        <v>180</v>
      </c>
      <c r="H15" s="55">
        <v>1934.4783333333335</v>
      </c>
      <c r="I15" s="56" t="s">
        <v>165</v>
      </c>
      <c r="J15" s="57">
        <v>4880.1324999999997</v>
      </c>
      <c r="K15" s="61">
        <v>12</v>
      </c>
      <c r="L15" s="62">
        <v>4880.1324999999997</v>
      </c>
      <c r="M15" s="55">
        <v>1934.4783333333335</v>
      </c>
    </row>
    <row r="16" spans="1:14" x14ac:dyDescent="0.35">
      <c r="A16" s="13" t="s">
        <v>15</v>
      </c>
      <c r="B16" s="13">
        <v>255.899</v>
      </c>
      <c r="C16" s="13">
        <v>2764.4859999999999</v>
      </c>
      <c r="D16" s="13">
        <v>0.68799999999999994</v>
      </c>
      <c r="E16" s="13">
        <v>1.204</v>
      </c>
    </row>
    <row r="17" spans="1:5" x14ac:dyDescent="0.35">
      <c r="A17" s="13" t="s">
        <v>16</v>
      </c>
      <c r="B17" s="13">
        <v>12274.308000000001</v>
      </c>
      <c r="C17" s="13">
        <v>1415.2449999999999</v>
      </c>
      <c r="D17" s="13">
        <v>21.960999999999999</v>
      </c>
      <c r="E17" s="13">
        <v>20.064</v>
      </c>
    </row>
    <row r="18" spans="1:5" x14ac:dyDescent="0.35">
      <c r="A18" s="13" t="s">
        <v>17</v>
      </c>
      <c r="B18" s="13">
        <v>7468.3389999999999</v>
      </c>
      <c r="C18" s="13">
        <v>1640.942</v>
      </c>
      <c r="D18" s="13">
        <v>17.864000000000001</v>
      </c>
      <c r="E18" s="13">
        <v>7.8719999999999999</v>
      </c>
    </row>
    <row r="19" spans="1:5" x14ac:dyDescent="0.35">
      <c r="A19" s="13" t="s">
        <v>18</v>
      </c>
      <c r="B19" s="13">
        <v>9727.9930000000004</v>
      </c>
      <c r="C19" s="13">
        <v>1525.683</v>
      </c>
      <c r="D19" s="13">
        <v>21.724</v>
      </c>
      <c r="E19" s="13">
        <v>9.7110000000000003</v>
      </c>
    </row>
    <row r="20" spans="1:5" x14ac:dyDescent="0.35">
      <c r="A20" s="13" t="s">
        <v>19</v>
      </c>
      <c r="B20" s="13">
        <v>5980.5370000000003</v>
      </c>
      <c r="C20" s="13">
        <v>1743.3050000000001</v>
      </c>
      <c r="D20" s="13">
        <v>15.672000000000001</v>
      </c>
      <c r="E20" s="13">
        <v>7.1440000000000001</v>
      </c>
    </row>
    <row r="21" spans="1:5" x14ac:dyDescent="0.35">
      <c r="A21" s="13" t="s">
        <v>20</v>
      </c>
      <c r="B21" s="13">
        <v>0</v>
      </c>
      <c r="C21" s="13"/>
      <c r="D21" s="13">
        <v>7.5999999999999998E-2</v>
      </c>
      <c r="E21" s="13">
        <v>0.33400000000000002</v>
      </c>
    </row>
    <row r="22" spans="1:5" x14ac:dyDescent="0.35">
      <c r="A22" s="13" t="s">
        <v>21</v>
      </c>
      <c r="B22" s="13">
        <v>262.64499999999998</v>
      </c>
      <c r="C22" s="13">
        <v>2800.23</v>
      </c>
      <c r="D22" s="13">
        <v>0.81899999999999995</v>
      </c>
      <c r="E22" s="13">
        <v>1.252</v>
      </c>
    </row>
    <row r="23" spans="1:5" x14ac:dyDescent="0.35">
      <c r="A23" s="13" t="s">
        <v>22</v>
      </c>
      <c r="B23" s="13">
        <v>2306.0949999999998</v>
      </c>
      <c r="C23" s="13">
        <v>2043.3630000000001</v>
      </c>
      <c r="D23" s="13">
        <v>5.5830000000000002</v>
      </c>
      <c r="E23" s="13">
        <v>5.6420000000000003</v>
      </c>
    </row>
    <row r="24" spans="1:5" x14ac:dyDescent="0.35">
      <c r="A24" s="13" t="s">
        <v>23</v>
      </c>
      <c r="B24" s="13">
        <v>5990.4189999999999</v>
      </c>
      <c r="C24" s="13">
        <v>1755.684</v>
      </c>
      <c r="D24" s="13">
        <v>15.228</v>
      </c>
      <c r="E24" s="13">
        <v>5.8339999999999996</v>
      </c>
    </row>
    <row r="25" spans="1:5" x14ac:dyDescent="0.35">
      <c r="A25" s="13" t="s">
        <v>24</v>
      </c>
      <c r="B25" s="13">
        <v>9445.6440000000002</v>
      </c>
      <c r="C25" s="13">
        <v>1524.164</v>
      </c>
      <c r="D25" s="13">
        <v>21.983000000000001</v>
      </c>
      <c r="E25" s="13">
        <v>14.912000000000001</v>
      </c>
    </row>
    <row r="26" spans="1:5" x14ac:dyDescent="0.35">
      <c r="A26" s="13" t="s">
        <v>25</v>
      </c>
      <c r="B26" s="13">
        <v>1751.5119999999999</v>
      </c>
      <c r="C26" s="13">
        <v>2191.2669999999998</v>
      </c>
      <c r="D26" s="13">
        <v>4.1210000000000004</v>
      </c>
      <c r="E26" s="13">
        <v>1.772</v>
      </c>
    </row>
    <row r="27" spans="1:5" x14ac:dyDescent="0.35">
      <c r="A27" s="13" t="s">
        <v>26</v>
      </c>
      <c r="B27" s="13">
        <v>0</v>
      </c>
      <c r="C27" s="13"/>
      <c r="D27" s="13">
        <v>1.9E-2</v>
      </c>
      <c r="E27" s="13">
        <v>8.7999999999999995E-2</v>
      </c>
    </row>
    <row r="28" spans="1:5" x14ac:dyDescent="0.35">
      <c r="A28" s="13" t="s">
        <v>27</v>
      </c>
      <c r="B28" s="13">
        <v>2368.451</v>
      </c>
      <c r="C28" s="13">
        <v>2016.8869999999999</v>
      </c>
      <c r="D28" s="13">
        <v>5.3460000000000001</v>
      </c>
      <c r="E28" s="13">
        <v>8.2379999999999995</v>
      </c>
    </row>
    <row r="29" spans="1:5" x14ac:dyDescent="0.35">
      <c r="A29" s="13" t="s">
        <v>28</v>
      </c>
      <c r="B29" s="13">
        <v>4190.51</v>
      </c>
      <c r="C29" s="13">
        <v>1863.5170000000001</v>
      </c>
      <c r="D29" s="13">
        <v>9.8059999999999992</v>
      </c>
      <c r="E29" s="13">
        <v>6.69</v>
      </c>
    </row>
    <row r="30" spans="1:5" x14ac:dyDescent="0.35">
      <c r="A30" s="13" t="s">
        <v>29</v>
      </c>
      <c r="B30" s="13">
        <v>9710.7240000000002</v>
      </c>
      <c r="C30" s="13">
        <v>1542.7539999999999</v>
      </c>
      <c r="D30" s="13">
        <v>20.492999999999999</v>
      </c>
      <c r="E30" s="13">
        <v>18.036000000000001</v>
      </c>
    </row>
    <row r="31" spans="1:5" x14ac:dyDescent="0.35">
      <c r="A31" s="13" t="s">
        <v>30</v>
      </c>
      <c r="B31" s="13">
        <v>15640.946</v>
      </c>
      <c r="C31" s="13">
        <v>1339.424</v>
      </c>
      <c r="D31" s="13">
        <v>33.883000000000003</v>
      </c>
      <c r="E31" s="13">
        <v>17.838999999999999</v>
      </c>
    </row>
    <row r="32" spans="1:5" x14ac:dyDescent="0.35">
      <c r="A32" s="13" t="s">
        <v>31</v>
      </c>
      <c r="B32" s="13">
        <v>2425.4540000000002</v>
      </c>
      <c r="C32" s="13">
        <v>2082.1979999999999</v>
      </c>
      <c r="D32" s="13">
        <v>6.0039999999999996</v>
      </c>
      <c r="E32" s="13">
        <v>2.57</v>
      </c>
    </row>
    <row r="33" spans="1:5" x14ac:dyDescent="0.35">
      <c r="A33" s="13" t="s">
        <v>32</v>
      </c>
      <c r="B33" s="13">
        <v>6.577</v>
      </c>
      <c r="C33" s="13">
        <v>2990.8339999999998</v>
      </c>
      <c r="D33" s="13">
        <v>7.3999999999999996E-2</v>
      </c>
      <c r="E33" s="13">
        <v>0.25800000000000001</v>
      </c>
    </row>
    <row r="34" spans="1:5" x14ac:dyDescent="0.35">
      <c r="A34" s="13" t="s">
        <v>33</v>
      </c>
      <c r="B34" s="13">
        <v>499.60399999999998</v>
      </c>
      <c r="C34" s="13">
        <v>2616.7020000000002</v>
      </c>
      <c r="D34" s="13">
        <v>1.163</v>
      </c>
      <c r="E34" s="13">
        <v>1.64</v>
      </c>
    </row>
    <row r="35" spans="1:5" x14ac:dyDescent="0.35">
      <c r="A35" s="13" t="s">
        <v>34</v>
      </c>
      <c r="B35" s="13">
        <v>1018.571</v>
      </c>
      <c r="C35" s="13">
        <v>2291.127</v>
      </c>
      <c r="D35" s="13">
        <v>5.181</v>
      </c>
      <c r="E35" s="13">
        <v>9.9380000000000006</v>
      </c>
    </row>
    <row r="36" spans="1:5" x14ac:dyDescent="0.35">
      <c r="A36" s="13" t="s">
        <v>35</v>
      </c>
      <c r="B36" s="13">
        <v>10319.092000000001</v>
      </c>
      <c r="C36" s="13">
        <v>1517.3630000000001</v>
      </c>
      <c r="D36" s="13">
        <v>23.503</v>
      </c>
      <c r="E36" s="13">
        <v>12.932</v>
      </c>
    </row>
    <row r="37" spans="1:5" x14ac:dyDescent="0.35">
      <c r="A37" s="13" t="s">
        <v>36</v>
      </c>
      <c r="B37" s="13">
        <v>7655.4040000000005</v>
      </c>
      <c r="C37" s="13">
        <v>1633.5730000000001</v>
      </c>
      <c r="D37" s="13">
        <v>19.568000000000001</v>
      </c>
      <c r="E37" s="13">
        <v>7.71</v>
      </c>
    </row>
    <row r="38" spans="1:5" x14ac:dyDescent="0.35">
      <c r="A38" s="13" t="s">
        <v>37</v>
      </c>
      <c r="B38" s="13">
        <v>2873.2339999999999</v>
      </c>
      <c r="C38" s="13">
        <v>1981.3389999999999</v>
      </c>
      <c r="D38" s="13">
        <v>6.9790000000000001</v>
      </c>
      <c r="E38" s="13">
        <v>2.9910000000000001</v>
      </c>
    </row>
    <row r="39" spans="1:5" x14ac:dyDescent="0.35">
      <c r="A39" s="13" t="s">
        <v>38</v>
      </c>
      <c r="B39" s="13">
        <v>0.623</v>
      </c>
      <c r="C39" s="13">
        <v>2479.7359999999999</v>
      </c>
      <c r="D39" s="13">
        <v>0.19700000000000001</v>
      </c>
      <c r="E39" s="13">
        <v>0.73499999999999999</v>
      </c>
    </row>
    <row r="40" spans="1:5" x14ac:dyDescent="0.35">
      <c r="A40" s="13" t="s">
        <v>39</v>
      </c>
      <c r="B40" s="13">
        <v>859.029</v>
      </c>
      <c r="C40" s="13">
        <v>2425.3789999999999</v>
      </c>
      <c r="D40" s="13">
        <v>2.42</v>
      </c>
      <c r="E40" s="13">
        <v>3.6720000000000002</v>
      </c>
    </row>
    <row r="41" spans="1:5" x14ac:dyDescent="0.35">
      <c r="A41" s="13" t="s">
        <v>40</v>
      </c>
      <c r="B41" s="13">
        <v>1018.773</v>
      </c>
      <c r="C41" s="13">
        <v>2313.1660000000002</v>
      </c>
      <c r="D41" s="13">
        <v>6.5419999999999998</v>
      </c>
      <c r="E41" s="13">
        <v>13.718999999999999</v>
      </c>
    </row>
    <row r="42" spans="1:5" x14ac:dyDescent="0.35">
      <c r="A42" s="13" t="s">
        <v>41</v>
      </c>
      <c r="B42" s="13">
        <v>13222.46</v>
      </c>
      <c r="C42" s="13">
        <v>1394.675</v>
      </c>
      <c r="D42" s="13">
        <v>30.914999999999999</v>
      </c>
      <c r="E42" s="13">
        <v>10.095000000000001</v>
      </c>
    </row>
    <row r="43" spans="1:5" x14ac:dyDescent="0.35">
      <c r="A43" s="13" t="s">
        <v>42</v>
      </c>
      <c r="B43" s="13">
        <v>8703.8289999999997</v>
      </c>
      <c r="C43" s="13">
        <v>1568.5650000000001</v>
      </c>
      <c r="D43" s="13">
        <v>21.363</v>
      </c>
      <c r="E43" s="13">
        <v>9.7149999999999999</v>
      </c>
    </row>
    <row r="44" spans="1:5" x14ac:dyDescent="0.35">
      <c r="A44" s="13" t="s">
        <v>43</v>
      </c>
      <c r="B44" s="13">
        <v>3205.232</v>
      </c>
      <c r="C44" s="13">
        <v>1968.712</v>
      </c>
      <c r="D44" s="13">
        <v>8.0069999999999997</v>
      </c>
      <c r="E44" s="13">
        <v>4.3479999999999999</v>
      </c>
    </row>
    <row r="45" spans="1:5" x14ac:dyDescent="0.35">
      <c r="A45" s="13" t="s">
        <v>44</v>
      </c>
      <c r="B45" s="13">
        <v>0</v>
      </c>
      <c r="C45" s="13"/>
      <c r="D45" s="13">
        <v>5.0999999999999997E-2</v>
      </c>
      <c r="E45" s="13">
        <v>0.22700000000000001</v>
      </c>
    </row>
    <row r="46" spans="1:5" x14ac:dyDescent="0.35">
      <c r="A46" s="13" t="s">
        <v>45</v>
      </c>
      <c r="B46" s="13">
        <v>393.88799999999998</v>
      </c>
      <c r="C46" s="13">
        <v>2530.4839999999999</v>
      </c>
      <c r="D46" s="13">
        <v>1.1279999999999999</v>
      </c>
      <c r="E46" s="13">
        <v>2.0699999999999998</v>
      </c>
    </row>
    <row r="47" spans="1:5" x14ac:dyDescent="0.35">
      <c r="A47" s="13" t="s">
        <v>46</v>
      </c>
      <c r="B47" s="13">
        <v>2107.1329999999998</v>
      </c>
      <c r="C47" s="13">
        <v>2094.0219999999999</v>
      </c>
      <c r="D47" s="13">
        <v>5.3869999999999996</v>
      </c>
      <c r="E47" s="13">
        <v>4.1500000000000004</v>
      </c>
    </row>
    <row r="48" spans="1:5" x14ac:dyDescent="0.35">
      <c r="A48" s="13" t="s">
        <v>47</v>
      </c>
      <c r="B48" s="13">
        <v>6639.607</v>
      </c>
      <c r="C48" s="13">
        <v>1597.3810000000001</v>
      </c>
      <c r="D48" s="13">
        <v>13.749000000000001</v>
      </c>
      <c r="E48" s="13">
        <v>10.125</v>
      </c>
    </row>
    <row r="49" spans="1:5" x14ac:dyDescent="0.35">
      <c r="A49" s="13" t="s">
        <v>48</v>
      </c>
      <c r="B49" s="13">
        <v>10474.849</v>
      </c>
      <c r="C49" s="13">
        <v>1526.277</v>
      </c>
      <c r="D49" s="13">
        <v>22.966999999999999</v>
      </c>
      <c r="E49" s="13">
        <v>11.753</v>
      </c>
    </row>
    <row r="50" spans="1:5" x14ac:dyDescent="0.35">
      <c r="A50" s="13" t="s">
        <v>49</v>
      </c>
      <c r="B50" s="13">
        <v>1918.029</v>
      </c>
      <c r="C50" s="13">
        <v>2171.761</v>
      </c>
      <c r="D50" s="13">
        <v>4.3840000000000003</v>
      </c>
      <c r="E50" s="13">
        <v>3.2890000000000001</v>
      </c>
    </row>
    <row r="51" spans="1:5" x14ac:dyDescent="0.35">
      <c r="A51" s="13" t="s">
        <v>50</v>
      </c>
      <c r="B51" s="13">
        <v>0</v>
      </c>
      <c r="C51" s="13"/>
      <c r="D51" s="13">
        <v>0.14099999999999999</v>
      </c>
      <c r="E51" s="13">
        <v>0.59499999999999997</v>
      </c>
    </row>
    <row r="52" spans="1:5" x14ac:dyDescent="0.35">
      <c r="A52" s="13" t="s">
        <v>51</v>
      </c>
      <c r="B52" s="13">
        <v>341.86799999999999</v>
      </c>
      <c r="C52" s="13">
        <v>2721.8240000000001</v>
      </c>
      <c r="D52" s="13">
        <v>0.93700000000000006</v>
      </c>
      <c r="E52" s="13">
        <v>0.89400000000000002</v>
      </c>
    </row>
    <row r="53" spans="1:5" x14ac:dyDescent="0.35">
      <c r="A53" s="13" t="s">
        <v>52</v>
      </c>
      <c r="B53" s="13">
        <v>1272.9100000000001</v>
      </c>
      <c r="C53" s="13">
        <v>2244.7689999999998</v>
      </c>
      <c r="D53" s="13">
        <v>3.0409999999999999</v>
      </c>
      <c r="E53" s="13">
        <v>3.64</v>
      </c>
    </row>
    <row r="54" spans="1:5" x14ac:dyDescent="0.35">
      <c r="A54" s="13" t="s">
        <v>53</v>
      </c>
      <c r="B54" s="13">
        <v>7468.9269999999997</v>
      </c>
      <c r="C54" s="13">
        <v>1567.748</v>
      </c>
      <c r="D54" s="13">
        <v>17.72</v>
      </c>
      <c r="E54" s="13">
        <v>10.95</v>
      </c>
    </row>
    <row r="55" spans="1:5" x14ac:dyDescent="0.35">
      <c r="A55" s="13" t="s">
        <v>54</v>
      </c>
      <c r="B55" s="13">
        <v>2647.3690000000001</v>
      </c>
      <c r="C55" s="13">
        <v>2047.066</v>
      </c>
      <c r="D55" s="13">
        <v>6.3140000000000001</v>
      </c>
      <c r="E55" s="13">
        <v>3.5369999999999999</v>
      </c>
    </row>
    <row r="56" spans="1:5" x14ac:dyDescent="0.35">
      <c r="A56" s="13" t="s">
        <v>55</v>
      </c>
      <c r="B56" s="13">
        <v>2544.3139999999999</v>
      </c>
      <c r="C56" s="13">
        <v>2060.4250000000002</v>
      </c>
      <c r="D56" s="13">
        <v>6.2409999999999997</v>
      </c>
      <c r="E56" s="13">
        <v>3.2770000000000001</v>
      </c>
    </row>
    <row r="57" spans="1:5" x14ac:dyDescent="0.35">
      <c r="A57" s="13" t="s">
        <v>56</v>
      </c>
      <c r="B57" s="13">
        <v>0</v>
      </c>
      <c r="C57" s="13"/>
      <c r="D57" s="13">
        <v>1.7999999999999999E-2</v>
      </c>
      <c r="E57" s="13">
        <v>8.4000000000000005E-2</v>
      </c>
    </row>
    <row r="58" spans="1:5" x14ac:dyDescent="0.35">
      <c r="A58" s="13" t="s">
        <v>57</v>
      </c>
      <c r="B58" s="13">
        <v>944.85599999999999</v>
      </c>
      <c r="C58" s="13">
        <v>2395.7339999999999</v>
      </c>
      <c r="D58" s="13">
        <v>1.9850000000000001</v>
      </c>
      <c r="E58" s="13">
        <v>2.7080000000000002</v>
      </c>
    </row>
    <row r="59" spans="1:5" x14ac:dyDescent="0.35">
      <c r="A59" s="13" t="s">
        <v>58</v>
      </c>
      <c r="B59" s="13">
        <v>1950.9960000000001</v>
      </c>
      <c r="C59" s="13">
        <v>2169.8560000000002</v>
      </c>
      <c r="D59" s="13">
        <v>4.7110000000000003</v>
      </c>
      <c r="E59" s="13">
        <v>3.274</v>
      </c>
    </row>
    <row r="60" spans="1:5" x14ac:dyDescent="0.35">
      <c r="A60" s="13" t="s">
        <v>59</v>
      </c>
      <c r="B60" s="13">
        <v>2118.902</v>
      </c>
      <c r="C60" s="13">
        <v>2132.248</v>
      </c>
      <c r="D60" s="13">
        <v>6.7779999999999996</v>
      </c>
      <c r="E60" s="13">
        <v>5.7629999999999999</v>
      </c>
    </row>
    <row r="61" spans="1:5" x14ac:dyDescent="0.35">
      <c r="A61" s="13" t="s">
        <v>60</v>
      </c>
      <c r="B61" s="13">
        <v>2827.3130000000001</v>
      </c>
      <c r="C61" s="13">
        <v>2021.713</v>
      </c>
      <c r="D61" s="13">
        <v>8.2680000000000007</v>
      </c>
      <c r="E61" s="13">
        <v>6.9470000000000001</v>
      </c>
    </row>
    <row r="62" spans="1:5" x14ac:dyDescent="0.35">
      <c r="A62" s="13" t="s">
        <v>61</v>
      </c>
      <c r="B62" s="13">
        <v>1068.557</v>
      </c>
      <c r="C62" s="13">
        <v>2371.5230000000001</v>
      </c>
      <c r="D62" s="13">
        <v>3.0289999999999999</v>
      </c>
      <c r="E62" s="13">
        <v>2.5910000000000002</v>
      </c>
    </row>
    <row r="63" spans="1:5" x14ac:dyDescent="0.35">
      <c r="A63" s="13" t="s">
        <v>62</v>
      </c>
      <c r="B63" s="13">
        <v>0</v>
      </c>
      <c r="C63" s="13"/>
      <c r="D63" s="13">
        <v>8.2000000000000003E-2</v>
      </c>
      <c r="E63" s="13">
        <v>0.35099999999999998</v>
      </c>
    </row>
    <row r="64" spans="1:5" x14ac:dyDescent="0.35">
      <c r="A64" s="13" t="s">
        <v>63</v>
      </c>
      <c r="B64" s="13">
        <v>23.588000000000001</v>
      </c>
      <c r="C64" s="13">
        <v>3047.596</v>
      </c>
      <c r="D64" s="13">
        <v>7.1999999999999995E-2</v>
      </c>
      <c r="E64" s="13">
        <v>0.123</v>
      </c>
    </row>
    <row r="65" spans="1:5" x14ac:dyDescent="0.35">
      <c r="A65" s="13" t="s">
        <v>64</v>
      </c>
      <c r="B65" s="13">
        <v>885.55799999999999</v>
      </c>
      <c r="C65" s="13">
        <v>2352.7069999999999</v>
      </c>
      <c r="D65" s="13">
        <v>1.875</v>
      </c>
      <c r="E65" s="13">
        <v>3.1349999999999998</v>
      </c>
    </row>
    <row r="66" spans="1:5" x14ac:dyDescent="0.35">
      <c r="A66" s="13" t="s">
        <v>65</v>
      </c>
      <c r="B66" s="13">
        <v>6270.0469999999996</v>
      </c>
      <c r="C66" s="13">
        <v>1650.5450000000001</v>
      </c>
      <c r="D66" s="13">
        <v>12.452</v>
      </c>
      <c r="E66" s="13">
        <v>9.0220000000000002</v>
      </c>
    </row>
    <row r="67" spans="1:5" x14ac:dyDescent="0.35">
      <c r="A67" s="13" t="s">
        <v>66</v>
      </c>
      <c r="B67" s="13">
        <v>8634.3080000000009</v>
      </c>
      <c r="C67" s="13">
        <v>1571.7650000000001</v>
      </c>
      <c r="D67" s="13">
        <v>21.207999999999998</v>
      </c>
      <c r="E67" s="13">
        <v>7.3970000000000002</v>
      </c>
    </row>
    <row r="68" spans="1:5" x14ac:dyDescent="0.35">
      <c r="A68" s="13" t="s">
        <v>67</v>
      </c>
      <c r="B68" s="13">
        <v>2343.9920000000002</v>
      </c>
      <c r="C68" s="13">
        <v>2082.7649999999999</v>
      </c>
      <c r="D68" s="13">
        <v>5.57</v>
      </c>
      <c r="E68" s="13">
        <v>2.8450000000000002</v>
      </c>
    </row>
    <row r="69" spans="1:5" x14ac:dyDescent="0.35">
      <c r="A69" s="13" t="s">
        <v>68</v>
      </c>
      <c r="B69" s="13">
        <v>0</v>
      </c>
      <c r="C69" s="13"/>
      <c r="D69" s="13">
        <v>0.09</v>
      </c>
      <c r="E69" s="13">
        <v>0.36599999999999999</v>
      </c>
    </row>
    <row r="70" spans="1:5" x14ac:dyDescent="0.35">
      <c r="A70" s="13" t="s">
        <v>69</v>
      </c>
      <c r="B70" s="13">
        <v>937.952</v>
      </c>
      <c r="C70" s="13">
        <v>2400.0320000000002</v>
      </c>
      <c r="D70" s="13">
        <v>2.5640000000000001</v>
      </c>
      <c r="E70" s="13">
        <v>2.4750000000000001</v>
      </c>
    </row>
    <row r="71" spans="1:5" x14ac:dyDescent="0.35">
      <c r="A71" s="13" t="s">
        <v>70</v>
      </c>
      <c r="B71" s="13">
        <v>1811.04</v>
      </c>
      <c r="C71" s="13">
        <v>2125.0889999999999</v>
      </c>
      <c r="D71" s="13">
        <v>4.3710000000000004</v>
      </c>
      <c r="E71" s="13">
        <v>4.5410000000000004</v>
      </c>
    </row>
    <row r="72" spans="1:5" x14ac:dyDescent="0.35">
      <c r="A72" s="13" t="s">
        <v>71</v>
      </c>
      <c r="B72" s="13">
        <v>5502.3389999999999</v>
      </c>
      <c r="C72" s="13">
        <v>1745.163</v>
      </c>
      <c r="D72" s="13">
        <v>12.755000000000001</v>
      </c>
      <c r="E72" s="13">
        <v>9.1620000000000008</v>
      </c>
    </row>
    <row r="73" spans="1:5" x14ac:dyDescent="0.35">
      <c r="A73" s="13" t="s">
        <v>72</v>
      </c>
      <c r="B73" s="13">
        <v>10035.6</v>
      </c>
      <c r="C73" s="13">
        <v>1535.982</v>
      </c>
      <c r="D73" s="13">
        <v>24.09</v>
      </c>
      <c r="E73" s="13">
        <v>9.6890000000000001</v>
      </c>
    </row>
    <row r="74" spans="1:5" x14ac:dyDescent="0.35">
      <c r="A74" s="13" t="s">
        <v>73</v>
      </c>
      <c r="B74" s="13">
        <v>10993.864</v>
      </c>
      <c r="C74" s="13">
        <v>1483.6510000000001</v>
      </c>
      <c r="D74" s="13">
        <v>24.478999999999999</v>
      </c>
      <c r="E74" s="13">
        <v>17.137</v>
      </c>
    </row>
    <row r="75" spans="1:5" x14ac:dyDescent="0.35">
      <c r="A75" s="4" t="s">
        <v>152</v>
      </c>
      <c r="B75" s="15">
        <f>SUM(B3:B74)</f>
        <v>277192.66599999991</v>
      </c>
      <c r="C75" s="15">
        <f t="shared" ref="C75:E75" si="0">SUM(C3:C74)</f>
        <v>127706</v>
      </c>
      <c r="D75" s="15">
        <f t="shared" si="0"/>
        <v>648.0540000000002</v>
      </c>
      <c r="E75" s="15">
        <f t="shared" si="0"/>
        <v>428.29899999999992</v>
      </c>
    </row>
    <row r="76" spans="1:5" x14ac:dyDescent="0.35">
      <c r="A76" s="4" t="s">
        <v>153</v>
      </c>
      <c r="B76" s="15">
        <f>AVERAGE(B3:B74)</f>
        <v>3849.8981388888878</v>
      </c>
      <c r="C76" s="15">
        <f t="shared" ref="C76:E76" si="1">AVERAGE(C3:C74)</f>
        <v>2027.0793650793651</v>
      </c>
      <c r="D76" s="15">
        <f t="shared" si="1"/>
        <v>9.0007500000000036</v>
      </c>
      <c r="E76" s="15">
        <f t="shared" si="1"/>
        <v>5.9485972222222214</v>
      </c>
    </row>
    <row r="77" spans="1:5" x14ac:dyDescent="0.35">
      <c r="A77" s="20"/>
      <c r="B77" s="54" t="s">
        <v>182</v>
      </c>
      <c r="C77" s="54"/>
      <c r="D77" s="54"/>
      <c r="E77" s="54"/>
    </row>
    <row r="78" spans="1:5" x14ac:dyDescent="0.35">
      <c r="A78" s="53" t="s">
        <v>0</v>
      </c>
      <c r="B78" s="12" t="s">
        <v>150</v>
      </c>
      <c r="C78" s="12" t="s">
        <v>149</v>
      </c>
      <c r="D78" s="12" t="s">
        <v>147</v>
      </c>
      <c r="E78" s="52" t="s">
        <v>148</v>
      </c>
    </row>
    <row r="79" spans="1:5" x14ac:dyDescent="0.35">
      <c r="A79" s="22" t="s">
        <v>74</v>
      </c>
      <c r="B79" s="13">
        <v>3.1E-2</v>
      </c>
      <c r="C79" s="13">
        <v>3418.0889999999999</v>
      </c>
      <c r="D79" s="13">
        <v>8.4000000000000005E-2</v>
      </c>
      <c r="E79" s="31">
        <v>0.317</v>
      </c>
    </row>
    <row r="80" spans="1:5" x14ac:dyDescent="0.35">
      <c r="A80" s="22" t="s">
        <v>75</v>
      </c>
      <c r="B80" s="13">
        <v>292.82299999999998</v>
      </c>
      <c r="C80" s="13">
        <v>2765.1469999999999</v>
      </c>
      <c r="D80" s="13">
        <v>0.65900000000000003</v>
      </c>
      <c r="E80" s="31">
        <v>1.046</v>
      </c>
    </row>
    <row r="81" spans="1:5" x14ac:dyDescent="0.35">
      <c r="A81" s="22" t="s">
        <v>76</v>
      </c>
      <c r="B81" s="13">
        <v>2926.13</v>
      </c>
      <c r="C81" s="13">
        <v>1980.1849999999999</v>
      </c>
      <c r="D81" s="13">
        <v>6.29</v>
      </c>
      <c r="E81" s="31">
        <v>5.1269999999999998</v>
      </c>
    </row>
    <row r="82" spans="1:5" x14ac:dyDescent="0.35">
      <c r="A82" s="22" t="s">
        <v>77</v>
      </c>
      <c r="B82" s="13">
        <v>13741.03</v>
      </c>
      <c r="C82" s="13">
        <v>1367.596</v>
      </c>
      <c r="D82" s="13">
        <v>26.079000000000001</v>
      </c>
      <c r="E82" s="31">
        <v>19.146999999999998</v>
      </c>
    </row>
    <row r="83" spans="1:5" x14ac:dyDescent="0.35">
      <c r="A83" s="22" t="s">
        <v>78</v>
      </c>
      <c r="B83" s="13">
        <v>5737.54</v>
      </c>
      <c r="C83" s="13">
        <v>1752.8869999999999</v>
      </c>
      <c r="D83" s="13">
        <v>14.43</v>
      </c>
      <c r="E83" s="31">
        <v>7.2240000000000002</v>
      </c>
    </row>
    <row r="84" spans="1:5" x14ac:dyDescent="0.35">
      <c r="A84" s="22" t="s">
        <v>79</v>
      </c>
      <c r="B84" s="13">
        <v>2378.89</v>
      </c>
      <c r="C84" s="13">
        <v>2068.9940000000001</v>
      </c>
      <c r="D84" s="13">
        <v>5.7779999999999996</v>
      </c>
      <c r="E84" s="31">
        <v>2.61</v>
      </c>
    </row>
    <row r="85" spans="1:5" x14ac:dyDescent="0.35">
      <c r="A85" s="22" t="s">
        <v>80</v>
      </c>
      <c r="B85" s="13">
        <v>0</v>
      </c>
      <c r="C85" s="13"/>
      <c r="D85" s="13">
        <v>0.04</v>
      </c>
      <c r="E85" s="31">
        <v>0.14299999999999999</v>
      </c>
    </row>
    <row r="86" spans="1:5" x14ac:dyDescent="0.35">
      <c r="A86" s="22" t="s">
        <v>81</v>
      </c>
      <c r="B86" s="13">
        <v>111.27200000000001</v>
      </c>
      <c r="C86" s="13">
        <v>2911.03</v>
      </c>
      <c r="D86" s="13">
        <v>0.45100000000000001</v>
      </c>
      <c r="E86" s="31">
        <v>1.0820000000000001</v>
      </c>
    </row>
    <row r="87" spans="1:5" x14ac:dyDescent="0.35">
      <c r="A87" s="22" t="s">
        <v>82</v>
      </c>
      <c r="B87" s="13">
        <v>9571.0400000000009</v>
      </c>
      <c r="C87" s="13">
        <v>1502.877</v>
      </c>
      <c r="D87" s="13">
        <v>18.344999999999999</v>
      </c>
      <c r="E87" s="31">
        <v>13.691000000000001</v>
      </c>
    </row>
    <row r="88" spans="1:5" x14ac:dyDescent="0.35">
      <c r="A88" s="22" t="s">
        <v>83</v>
      </c>
      <c r="B88" s="13">
        <v>3652.11</v>
      </c>
      <c r="C88" s="13">
        <v>1894.444</v>
      </c>
      <c r="D88" s="13">
        <v>8.3659999999999997</v>
      </c>
      <c r="E88" s="31">
        <v>3.8039999999999998</v>
      </c>
    </row>
    <row r="89" spans="1:5" x14ac:dyDescent="0.35">
      <c r="A89" s="22" t="s">
        <v>84</v>
      </c>
      <c r="B89" s="13">
        <v>2380.7800000000002</v>
      </c>
      <c r="C89" s="13">
        <v>2074.52</v>
      </c>
      <c r="D89" s="13">
        <v>6.0270000000000001</v>
      </c>
      <c r="E89" s="31">
        <v>3.581</v>
      </c>
    </row>
    <row r="90" spans="1:5" x14ac:dyDescent="0.35">
      <c r="A90" s="22" t="s">
        <v>85</v>
      </c>
      <c r="B90" s="13">
        <v>1422.53</v>
      </c>
      <c r="C90" s="13">
        <v>2288.4920000000002</v>
      </c>
      <c r="D90" s="13">
        <v>3.5539999999999998</v>
      </c>
      <c r="E90" s="31">
        <v>2.1459999999999999</v>
      </c>
    </row>
    <row r="91" spans="1:5" x14ac:dyDescent="0.35">
      <c r="A91" s="22" t="s">
        <v>86</v>
      </c>
      <c r="B91" s="13">
        <v>30.748000000000001</v>
      </c>
      <c r="C91" s="13">
        <v>3079.808</v>
      </c>
      <c r="D91" s="13">
        <v>0.13500000000000001</v>
      </c>
      <c r="E91" s="31">
        <v>0.35499999999999998</v>
      </c>
    </row>
    <row r="92" spans="1:5" x14ac:dyDescent="0.35">
      <c r="A92" s="22" t="s">
        <v>87</v>
      </c>
      <c r="B92" s="13">
        <v>999.85799999999995</v>
      </c>
      <c r="C92" s="13">
        <v>2410.3130000000001</v>
      </c>
      <c r="D92" s="13">
        <v>3.4220000000000002</v>
      </c>
      <c r="E92" s="31">
        <v>4.7060000000000004</v>
      </c>
    </row>
    <row r="93" spans="1:5" x14ac:dyDescent="0.35">
      <c r="A93" s="22" t="s">
        <v>88</v>
      </c>
      <c r="B93" s="13">
        <v>2027.74</v>
      </c>
      <c r="C93" s="13">
        <v>2152.7800000000002</v>
      </c>
      <c r="D93" s="13">
        <v>5.1849999999999996</v>
      </c>
      <c r="E93" s="31">
        <v>3.47</v>
      </c>
    </row>
    <row r="94" spans="1:5" x14ac:dyDescent="0.35">
      <c r="A94" s="22" t="s">
        <v>89</v>
      </c>
      <c r="B94" s="13">
        <v>7169.01</v>
      </c>
      <c r="C94" s="13">
        <v>1661.441</v>
      </c>
      <c r="D94" s="13">
        <v>17.091000000000001</v>
      </c>
      <c r="E94" s="31">
        <v>13.67</v>
      </c>
    </row>
    <row r="95" spans="1:5" x14ac:dyDescent="0.35">
      <c r="A95" s="22" t="s">
        <v>90</v>
      </c>
      <c r="B95" s="13">
        <v>3423.15</v>
      </c>
      <c r="C95" s="13">
        <v>1943.633</v>
      </c>
      <c r="D95" s="13">
        <v>9.1020000000000003</v>
      </c>
      <c r="E95" s="31">
        <v>7.5720000000000001</v>
      </c>
    </row>
    <row r="96" spans="1:5" x14ac:dyDescent="0.35">
      <c r="A96" s="22" t="s">
        <v>91</v>
      </c>
      <c r="B96" s="13">
        <v>1897.25</v>
      </c>
      <c r="C96" s="13">
        <v>2176.9180000000001</v>
      </c>
      <c r="D96" s="13">
        <v>4.58</v>
      </c>
      <c r="E96" s="31">
        <v>2.34</v>
      </c>
    </row>
    <row r="97" spans="1:5" x14ac:dyDescent="0.35">
      <c r="A97" s="22" t="s">
        <v>92</v>
      </c>
      <c r="B97" s="13">
        <v>0</v>
      </c>
      <c r="C97" s="13"/>
      <c r="D97" s="13">
        <v>9.5000000000000001E-2</v>
      </c>
      <c r="E97" s="31">
        <v>0.373</v>
      </c>
    </row>
    <row r="98" spans="1:5" x14ac:dyDescent="0.35">
      <c r="A98" s="22" t="s">
        <v>93</v>
      </c>
      <c r="B98" s="13">
        <v>734.40800000000002</v>
      </c>
      <c r="C98" s="13">
        <v>2525.2710000000002</v>
      </c>
      <c r="D98" s="13">
        <v>1.7589999999999999</v>
      </c>
      <c r="E98" s="31">
        <v>1.7090000000000001</v>
      </c>
    </row>
    <row r="99" spans="1:5" x14ac:dyDescent="0.35">
      <c r="A99" s="22" t="s">
        <v>94</v>
      </c>
      <c r="B99" s="13">
        <v>2980.61</v>
      </c>
      <c r="C99" s="13">
        <v>1974.672</v>
      </c>
      <c r="D99" s="13">
        <v>7.8360000000000003</v>
      </c>
      <c r="E99" s="31">
        <v>7.7560000000000002</v>
      </c>
    </row>
    <row r="100" spans="1:5" x14ac:dyDescent="0.35">
      <c r="A100" s="22" t="s">
        <v>95</v>
      </c>
      <c r="B100" s="13">
        <v>8867.5300000000007</v>
      </c>
      <c r="C100" s="13">
        <v>1569.2639999999999</v>
      </c>
      <c r="D100" s="13">
        <v>22.222999999999999</v>
      </c>
      <c r="E100" s="31">
        <v>9.7080000000000002</v>
      </c>
    </row>
    <row r="101" spans="1:5" x14ac:dyDescent="0.35">
      <c r="A101" s="22" t="s">
        <v>96</v>
      </c>
      <c r="B101" s="13">
        <v>4673.49</v>
      </c>
      <c r="C101" s="13">
        <v>1825.241</v>
      </c>
      <c r="D101" s="13">
        <v>11.407999999999999</v>
      </c>
      <c r="E101" s="31">
        <v>4.49</v>
      </c>
    </row>
    <row r="102" spans="1:5" x14ac:dyDescent="0.35">
      <c r="A102" s="22" t="s">
        <v>97</v>
      </c>
      <c r="B102" s="13">
        <v>1816.94</v>
      </c>
      <c r="C102" s="13">
        <v>2184.134</v>
      </c>
      <c r="D102" s="13">
        <v>4.4130000000000003</v>
      </c>
      <c r="E102" s="31">
        <v>2.198</v>
      </c>
    </row>
    <row r="103" spans="1:5" x14ac:dyDescent="0.35">
      <c r="A103" s="22" t="s">
        <v>98</v>
      </c>
      <c r="B103" s="13">
        <v>0</v>
      </c>
      <c r="C103" s="13"/>
      <c r="D103" s="13">
        <v>4.4999999999999998E-2</v>
      </c>
      <c r="E103" s="31">
        <v>0.217</v>
      </c>
    </row>
    <row r="104" spans="1:5" x14ac:dyDescent="0.35">
      <c r="A104" s="22" t="s">
        <v>99</v>
      </c>
      <c r="B104" s="13">
        <v>125.827</v>
      </c>
      <c r="C104" s="8">
        <v>2865.2919999999999</v>
      </c>
      <c r="D104" s="13">
        <v>0.31</v>
      </c>
      <c r="E104" s="31">
        <v>0.42499999999999999</v>
      </c>
    </row>
    <row r="105" spans="1:5" x14ac:dyDescent="0.35">
      <c r="A105" s="22" t="s">
        <v>100</v>
      </c>
      <c r="B105" s="13">
        <v>5411.15</v>
      </c>
      <c r="C105" s="8">
        <v>1745.203</v>
      </c>
      <c r="D105" s="13">
        <v>11.438000000000001</v>
      </c>
      <c r="E105" s="31">
        <v>12.036</v>
      </c>
    </row>
    <row r="106" spans="1:5" x14ac:dyDescent="0.35">
      <c r="A106" s="22" t="s">
        <v>101</v>
      </c>
      <c r="B106" s="13">
        <v>3788.98</v>
      </c>
      <c r="C106" s="8">
        <v>1871.3109999999999</v>
      </c>
      <c r="D106" s="13">
        <v>10.069000000000001</v>
      </c>
      <c r="E106" s="31">
        <v>7.4450000000000003</v>
      </c>
    </row>
    <row r="107" spans="1:5" x14ac:dyDescent="0.35">
      <c r="A107" s="22" t="s">
        <v>102</v>
      </c>
      <c r="B107" s="13">
        <v>8899.5499999999993</v>
      </c>
      <c r="C107" s="8">
        <v>1587.59</v>
      </c>
      <c r="D107" s="13">
        <v>20.545000000000002</v>
      </c>
      <c r="E107" s="31">
        <v>11.04</v>
      </c>
    </row>
    <row r="108" spans="1:5" x14ac:dyDescent="0.35">
      <c r="A108" s="22" t="s">
        <v>103</v>
      </c>
      <c r="B108" s="13">
        <v>2559.65</v>
      </c>
      <c r="C108" s="8">
        <v>2045.498</v>
      </c>
      <c r="D108" s="13">
        <v>6.2560000000000002</v>
      </c>
      <c r="E108" s="31">
        <v>3.0550000000000002</v>
      </c>
    </row>
    <row r="109" spans="1:5" x14ac:dyDescent="0.35">
      <c r="A109" s="22" t="s">
        <v>104</v>
      </c>
      <c r="B109" s="13">
        <v>0</v>
      </c>
      <c r="C109" s="13"/>
      <c r="D109" s="13">
        <v>1.2999999999999999E-2</v>
      </c>
      <c r="E109" s="31">
        <v>6.6000000000000003E-2</v>
      </c>
    </row>
    <row r="110" spans="1:5" x14ac:dyDescent="0.35">
      <c r="A110" s="22" t="s">
        <v>105</v>
      </c>
      <c r="B110" s="13">
        <v>344.67899999999997</v>
      </c>
      <c r="C110" s="13">
        <v>2584.3580000000002</v>
      </c>
      <c r="D110" s="13">
        <v>1.226</v>
      </c>
      <c r="E110" s="31">
        <v>2.3839999999999999</v>
      </c>
    </row>
    <row r="111" spans="1:5" x14ac:dyDescent="0.35">
      <c r="A111" s="22" t="s">
        <v>106</v>
      </c>
      <c r="B111" s="13">
        <v>2075.42</v>
      </c>
      <c r="C111" s="13">
        <v>2100.7150000000001</v>
      </c>
      <c r="D111" s="13">
        <v>4.9800000000000004</v>
      </c>
      <c r="E111" s="31">
        <v>5.2969999999999997</v>
      </c>
    </row>
    <row r="112" spans="1:5" x14ac:dyDescent="0.35">
      <c r="A112" s="22" t="s">
        <v>107</v>
      </c>
      <c r="B112" s="13">
        <v>3251.94</v>
      </c>
      <c r="C112" s="13">
        <v>1987.018</v>
      </c>
      <c r="D112" s="13">
        <v>7.6950000000000003</v>
      </c>
      <c r="E112" s="31">
        <v>5.141</v>
      </c>
    </row>
    <row r="113" spans="1:5" x14ac:dyDescent="0.35">
      <c r="A113" s="22" t="s">
        <v>108</v>
      </c>
      <c r="B113" s="13">
        <v>2357.5300000000002</v>
      </c>
      <c r="C113" s="13">
        <v>2090.9119999999998</v>
      </c>
      <c r="D113" s="13">
        <v>5.6219999999999999</v>
      </c>
      <c r="E113" s="31">
        <v>2.258</v>
      </c>
    </row>
    <row r="114" spans="1:5" x14ac:dyDescent="0.35">
      <c r="A114" s="22" t="s">
        <v>109</v>
      </c>
      <c r="B114" s="13">
        <v>877.12</v>
      </c>
      <c r="C114" s="13">
        <v>2468.8850000000002</v>
      </c>
      <c r="D114" s="13">
        <v>2.1819999999999999</v>
      </c>
      <c r="E114" s="31">
        <v>1.2450000000000001</v>
      </c>
    </row>
    <row r="115" spans="1:5" x14ac:dyDescent="0.35">
      <c r="A115" s="22" t="s">
        <v>110</v>
      </c>
      <c r="B115" s="13">
        <v>2.274</v>
      </c>
      <c r="C115" s="13">
        <v>3198.0830000000001</v>
      </c>
      <c r="D115" s="13">
        <v>9.1999999999999998E-2</v>
      </c>
      <c r="E115" s="31">
        <v>0.29199999999999998</v>
      </c>
    </row>
    <row r="116" spans="1:5" x14ac:dyDescent="0.35">
      <c r="A116" s="22" t="s">
        <v>111</v>
      </c>
      <c r="B116" s="13">
        <v>344.01600000000002</v>
      </c>
      <c r="C116" s="13">
        <v>2725.2040000000002</v>
      </c>
      <c r="D116" s="13">
        <v>1.1379999999999999</v>
      </c>
      <c r="E116" s="31">
        <v>1.8580000000000001</v>
      </c>
    </row>
    <row r="117" spans="1:5" x14ac:dyDescent="0.35">
      <c r="A117" s="22" t="s">
        <v>112</v>
      </c>
      <c r="B117" s="13">
        <v>3007.08</v>
      </c>
      <c r="C117" s="13">
        <v>1996.933</v>
      </c>
      <c r="D117" s="13">
        <v>7.7789999999999999</v>
      </c>
      <c r="E117" s="31">
        <v>5.657</v>
      </c>
    </row>
    <row r="118" spans="1:5" x14ac:dyDescent="0.35">
      <c r="A118" s="22" t="s">
        <v>113</v>
      </c>
      <c r="B118" s="13">
        <v>9867.42</v>
      </c>
      <c r="C118" s="13">
        <v>1539.8989999999999</v>
      </c>
      <c r="D118" s="13">
        <v>22.844999999999999</v>
      </c>
      <c r="E118" s="31">
        <v>11.252000000000001</v>
      </c>
    </row>
    <row r="119" spans="1:5" x14ac:dyDescent="0.35">
      <c r="A119" s="22" t="s">
        <v>114</v>
      </c>
      <c r="B119" s="13">
        <v>4164.53</v>
      </c>
      <c r="C119" s="13">
        <v>1887.41</v>
      </c>
      <c r="D119" s="13">
        <v>10.645</v>
      </c>
      <c r="E119" s="31">
        <v>3.6019999999999999</v>
      </c>
    </row>
    <row r="120" spans="1:5" x14ac:dyDescent="0.35">
      <c r="A120" s="22" t="s">
        <v>115</v>
      </c>
      <c r="B120" s="13">
        <v>4082.65</v>
      </c>
      <c r="C120" s="13">
        <v>1907.86</v>
      </c>
      <c r="D120" s="13">
        <v>10.593</v>
      </c>
      <c r="E120" s="31">
        <v>3.2869999999999999</v>
      </c>
    </row>
    <row r="121" spans="1:5" x14ac:dyDescent="0.35">
      <c r="A121" s="22" t="s">
        <v>116</v>
      </c>
      <c r="B121" s="13">
        <v>0</v>
      </c>
      <c r="C121" s="13"/>
      <c r="D121" s="13">
        <v>4.9000000000000002E-2</v>
      </c>
      <c r="E121" s="31">
        <v>0.21099999999999999</v>
      </c>
    </row>
    <row r="122" spans="1:5" x14ac:dyDescent="0.35">
      <c r="A122" s="22" t="s">
        <v>117</v>
      </c>
      <c r="B122" s="13">
        <v>25.219000000000001</v>
      </c>
      <c r="C122" s="13">
        <v>3070.0189999999998</v>
      </c>
      <c r="D122" s="13">
        <v>0.159</v>
      </c>
      <c r="E122" s="31">
        <v>0.496</v>
      </c>
    </row>
    <row r="123" spans="1:5" x14ac:dyDescent="0.35">
      <c r="A123" s="22" t="s">
        <v>118</v>
      </c>
      <c r="B123" s="13">
        <v>1907.17</v>
      </c>
      <c r="C123" s="13">
        <v>2172.8180000000002</v>
      </c>
      <c r="D123" s="13">
        <v>5.0739999999999998</v>
      </c>
      <c r="E123" s="31">
        <v>4.2510000000000003</v>
      </c>
    </row>
    <row r="124" spans="1:5" x14ac:dyDescent="0.35">
      <c r="A124" s="22" t="s">
        <v>119</v>
      </c>
      <c r="B124" s="13">
        <v>8879.0499999999993</v>
      </c>
      <c r="C124" s="13">
        <v>1566.1310000000001</v>
      </c>
      <c r="D124" s="13">
        <v>20.710999999999999</v>
      </c>
      <c r="E124" s="31">
        <v>11.057</v>
      </c>
    </row>
    <row r="125" spans="1:5" x14ac:dyDescent="0.35">
      <c r="A125" s="22" t="s">
        <v>120</v>
      </c>
      <c r="B125" s="13">
        <v>10190.02</v>
      </c>
      <c r="C125" s="13">
        <v>1510.423</v>
      </c>
      <c r="D125" s="13">
        <v>22.742000000000001</v>
      </c>
      <c r="E125" s="31">
        <v>15.77</v>
      </c>
    </row>
    <row r="126" spans="1:5" x14ac:dyDescent="0.35">
      <c r="A126" s="22" t="s">
        <v>121</v>
      </c>
      <c r="B126" s="13">
        <v>2578.06</v>
      </c>
      <c r="C126" s="13">
        <v>2053.25</v>
      </c>
      <c r="D126" s="13">
        <v>6.3979999999999997</v>
      </c>
      <c r="E126" s="31">
        <v>2.6139999999999999</v>
      </c>
    </row>
    <row r="127" spans="1:5" x14ac:dyDescent="0.35">
      <c r="A127" s="22" t="s">
        <v>122</v>
      </c>
      <c r="B127" s="13">
        <v>0</v>
      </c>
      <c r="C127" s="13"/>
      <c r="D127" s="13">
        <v>1.0999999999999999E-2</v>
      </c>
      <c r="E127" s="31">
        <v>5.2999999999999999E-2</v>
      </c>
    </row>
    <row r="128" spans="1:5" x14ac:dyDescent="0.35">
      <c r="A128" s="22" t="s">
        <v>123</v>
      </c>
      <c r="B128" s="13">
        <v>392.98</v>
      </c>
      <c r="C128" s="13">
        <v>2682.9110000000001</v>
      </c>
      <c r="D128" s="13">
        <v>1.244</v>
      </c>
      <c r="E128" s="31">
        <v>2.2170000000000001</v>
      </c>
    </row>
    <row r="129" spans="1:5" x14ac:dyDescent="0.35">
      <c r="A129" s="22" t="s">
        <v>124</v>
      </c>
      <c r="B129" s="13">
        <v>1685.12</v>
      </c>
      <c r="C129" s="13">
        <v>2200.7759999999998</v>
      </c>
      <c r="D129" s="13">
        <v>4.4649999999999999</v>
      </c>
      <c r="E129" s="31">
        <v>4.0410000000000004</v>
      </c>
    </row>
    <row r="130" spans="1:5" x14ac:dyDescent="0.35">
      <c r="A130" s="22" t="s">
        <v>125</v>
      </c>
      <c r="B130" s="13">
        <v>4510.05</v>
      </c>
      <c r="C130" s="13">
        <v>1799.2260000000001</v>
      </c>
      <c r="D130" s="13">
        <v>9.1579999999999995</v>
      </c>
      <c r="E130" s="31">
        <v>10.163</v>
      </c>
    </row>
    <row r="131" spans="1:5" x14ac:dyDescent="0.35">
      <c r="A131" s="22" t="s">
        <v>126</v>
      </c>
      <c r="B131" s="13">
        <v>3791.84</v>
      </c>
      <c r="C131" s="13">
        <v>1894.857</v>
      </c>
      <c r="D131" s="13">
        <v>9.2260000000000009</v>
      </c>
      <c r="E131" s="31">
        <v>5.1310000000000002</v>
      </c>
    </row>
    <row r="132" spans="1:5" x14ac:dyDescent="0.35">
      <c r="A132" s="22" t="s">
        <v>127</v>
      </c>
      <c r="B132" s="13">
        <v>1463.55</v>
      </c>
      <c r="C132" s="13">
        <v>2263.424</v>
      </c>
      <c r="D132" s="13">
        <v>3.7240000000000002</v>
      </c>
      <c r="E132" s="31">
        <v>1.89</v>
      </c>
    </row>
    <row r="133" spans="1:5" x14ac:dyDescent="0.35">
      <c r="A133" s="22" t="s">
        <v>128</v>
      </c>
      <c r="B133" s="13">
        <v>0</v>
      </c>
      <c r="C133" s="13"/>
      <c r="D133" s="13">
        <v>4.9000000000000002E-2</v>
      </c>
      <c r="E133" s="31">
        <v>0.22700000000000001</v>
      </c>
    </row>
    <row r="134" spans="1:5" x14ac:dyDescent="0.35">
      <c r="A134" s="22" t="s">
        <v>129</v>
      </c>
      <c r="B134" s="13">
        <v>85.254999999999995</v>
      </c>
      <c r="C134" s="13">
        <v>2805.7530000000002</v>
      </c>
      <c r="D134" s="13">
        <v>0.30299999999999999</v>
      </c>
      <c r="E134" s="31">
        <v>0.64300000000000002</v>
      </c>
    </row>
    <row r="135" spans="1:5" x14ac:dyDescent="0.35">
      <c r="A135" s="22" t="s">
        <v>130</v>
      </c>
      <c r="B135" s="13">
        <v>2658.98</v>
      </c>
      <c r="C135" s="13">
        <v>2020.84</v>
      </c>
      <c r="D135" s="13">
        <v>6.1070000000000002</v>
      </c>
      <c r="E135" s="31">
        <v>6.7460000000000004</v>
      </c>
    </row>
    <row r="136" spans="1:5" x14ac:dyDescent="0.35">
      <c r="A136" s="22" t="s">
        <v>131</v>
      </c>
      <c r="B136" s="13">
        <v>17550.03</v>
      </c>
      <c r="C136" s="13">
        <v>1280.424</v>
      </c>
      <c r="D136" s="13">
        <v>30.006</v>
      </c>
      <c r="E136" s="31">
        <v>26.49</v>
      </c>
    </row>
    <row r="137" spans="1:5" x14ac:dyDescent="0.35">
      <c r="A137" s="22" t="s">
        <v>132</v>
      </c>
      <c r="B137" s="13">
        <v>5349.53</v>
      </c>
      <c r="C137" s="13">
        <v>1780.5160000000001</v>
      </c>
      <c r="D137" s="13">
        <v>12.422000000000001</v>
      </c>
      <c r="E137" s="31">
        <v>8.0890000000000004</v>
      </c>
    </row>
    <row r="138" spans="1:5" x14ac:dyDescent="0.35">
      <c r="A138" s="22" t="s">
        <v>133</v>
      </c>
      <c r="B138" s="13">
        <v>2630.7</v>
      </c>
      <c r="C138" s="13">
        <v>2046.7550000000001</v>
      </c>
      <c r="D138" s="13">
        <v>6.53</v>
      </c>
      <c r="E138" s="31">
        <v>2.1339999999999999</v>
      </c>
    </row>
    <row r="139" spans="1:5" x14ac:dyDescent="0.35">
      <c r="A139" s="22" t="s">
        <v>134</v>
      </c>
      <c r="B139" s="13">
        <v>0.58699999999999997</v>
      </c>
      <c r="C139" s="13">
        <v>3350.8130000000001</v>
      </c>
      <c r="D139" s="13">
        <v>8.8999999999999996E-2</v>
      </c>
      <c r="E139" s="31">
        <v>0.307</v>
      </c>
    </row>
    <row r="140" spans="1:5" x14ac:dyDescent="0.35">
      <c r="A140" s="22" t="s">
        <v>135</v>
      </c>
      <c r="B140" s="13">
        <v>165.87899999999999</v>
      </c>
      <c r="C140" s="13">
        <v>2874.38</v>
      </c>
      <c r="D140" s="13">
        <v>0.55900000000000005</v>
      </c>
      <c r="E140" s="31">
        <v>1.258</v>
      </c>
    </row>
    <row r="141" spans="1:5" x14ac:dyDescent="0.35">
      <c r="A141" s="22" t="s">
        <v>136</v>
      </c>
      <c r="B141" s="13">
        <v>846.40499999999997</v>
      </c>
      <c r="C141" s="13">
        <v>2456.9490000000001</v>
      </c>
      <c r="D141" s="13">
        <v>2.4209999999999998</v>
      </c>
      <c r="E141" s="31">
        <v>1.873</v>
      </c>
    </row>
    <row r="142" spans="1:5" x14ac:dyDescent="0.35">
      <c r="A142" s="22" t="s">
        <v>137</v>
      </c>
      <c r="B142" s="13">
        <v>1982.77</v>
      </c>
      <c r="C142" s="13">
        <v>2127.8629999999998</v>
      </c>
      <c r="D142" s="13">
        <v>4.952</v>
      </c>
      <c r="E142" s="31">
        <v>4.28</v>
      </c>
    </row>
    <row r="143" spans="1:5" x14ac:dyDescent="0.35">
      <c r="A143" s="22" t="s">
        <v>138</v>
      </c>
      <c r="B143" s="13">
        <v>7914.79</v>
      </c>
      <c r="C143" s="13">
        <v>1634.1880000000001</v>
      </c>
      <c r="D143" s="13">
        <v>18.733000000000001</v>
      </c>
      <c r="E143" s="31">
        <v>9.5109999999999992</v>
      </c>
    </row>
    <row r="144" spans="1:5" x14ac:dyDescent="0.35">
      <c r="A144" s="22" t="s">
        <v>139</v>
      </c>
      <c r="B144" s="13">
        <v>1805.15</v>
      </c>
      <c r="C144" s="13">
        <v>2164.279</v>
      </c>
      <c r="D144" s="13">
        <v>4.2439999999999998</v>
      </c>
      <c r="E144" s="31">
        <v>2.7869999999999999</v>
      </c>
    </row>
    <row r="145" spans="1:5" x14ac:dyDescent="0.35">
      <c r="A145" s="22" t="s">
        <v>140</v>
      </c>
      <c r="B145" s="13">
        <v>5.0000000000000001E-3</v>
      </c>
      <c r="C145" s="13"/>
      <c r="D145" s="13">
        <v>0.108</v>
      </c>
      <c r="E145" s="31">
        <v>0.442</v>
      </c>
    </row>
    <row r="146" spans="1:5" x14ac:dyDescent="0.35">
      <c r="A146" s="22" t="s">
        <v>141</v>
      </c>
      <c r="B146" s="13">
        <v>509.66500000000002</v>
      </c>
      <c r="C146" s="13">
        <v>2506.98</v>
      </c>
      <c r="D146" s="13">
        <v>1.5760000000000001</v>
      </c>
      <c r="E146" s="31">
        <v>3.222</v>
      </c>
    </row>
    <row r="147" spans="1:5" x14ac:dyDescent="0.35">
      <c r="A147" s="22" t="s">
        <v>142</v>
      </c>
      <c r="B147" s="13">
        <v>1200.8900000000001</v>
      </c>
      <c r="C147" s="13">
        <v>2323.1790000000001</v>
      </c>
      <c r="D147" s="13">
        <v>3.1059999999999999</v>
      </c>
      <c r="E147" s="31">
        <v>2.863</v>
      </c>
    </row>
    <row r="148" spans="1:5" x14ac:dyDescent="0.35">
      <c r="A148" s="22" t="s">
        <v>143</v>
      </c>
      <c r="B148" s="13">
        <v>4020.02</v>
      </c>
      <c r="C148" s="13">
        <v>1847.479</v>
      </c>
      <c r="D148" s="13">
        <v>9.2680000000000007</v>
      </c>
      <c r="E148" s="31">
        <v>5.95</v>
      </c>
    </row>
    <row r="149" spans="1:5" x14ac:dyDescent="0.35">
      <c r="A149" s="22" t="s">
        <v>144</v>
      </c>
      <c r="B149" s="13">
        <v>3673.53</v>
      </c>
      <c r="C149" s="13">
        <v>1929.895</v>
      </c>
      <c r="D149" s="13">
        <v>9.6509999999999998</v>
      </c>
      <c r="E149" s="31">
        <v>4.7770000000000001</v>
      </c>
    </row>
    <row r="150" spans="1:5" x14ac:dyDescent="0.35">
      <c r="A150" s="22" t="s">
        <v>145</v>
      </c>
      <c r="B150" s="13">
        <v>2202.7600000000002</v>
      </c>
      <c r="C150" s="13">
        <v>2124.1550000000002</v>
      </c>
      <c r="D150" s="13">
        <v>5.81</v>
      </c>
      <c r="E150" s="31">
        <v>2.2669999999999999</v>
      </c>
    </row>
    <row r="151" spans="1:5" x14ac:dyDescent="0.35">
      <c r="A151" s="23" t="s">
        <v>152</v>
      </c>
      <c r="B151" s="15">
        <f>SUM(B79:B150)</f>
        <v>216014.731</v>
      </c>
      <c r="C151" s="15">
        <f t="shared" ref="C151:E151" si="2">SUM(C79:C150)</f>
        <v>138618.18999999992</v>
      </c>
      <c r="D151" s="15">
        <f t="shared" si="2"/>
        <v>499.72000000000014</v>
      </c>
      <c r="E151" s="32">
        <f t="shared" si="2"/>
        <v>336.58199999999999</v>
      </c>
    </row>
    <row r="152" spans="1:5" x14ac:dyDescent="0.35">
      <c r="A152" s="23" t="s">
        <v>153</v>
      </c>
      <c r="B152" s="15">
        <f>AVERAGE(B79:B150)</f>
        <v>3000.2045972222222</v>
      </c>
      <c r="C152" s="15">
        <f>AVERAGE(C79:C150)</f>
        <v>2165.9092187499987</v>
      </c>
      <c r="D152" s="15">
        <f t="shared" ref="D152:E152" si="3">AVERAGE(D79:D150)</f>
        <v>6.9405555555555578</v>
      </c>
      <c r="E152" s="15">
        <f t="shared" si="3"/>
        <v>4.6747499999999995</v>
      </c>
    </row>
  </sheetData>
  <mergeCells count="3">
    <mergeCell ref="A1:E1"/>
    <mergeCell ref="G2:H2"/>
    <mergeCell ref="I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S.Area</vt:lpstr>
      <vt:lpstr>S.line</vt:lpstr>
      <vt:lpstr>SDI</vt:lpstr>
      <vt:lpstr>SCV</vt:lpstr>
      <vt:lpstr>1+2 ستونی</vt:lpstr>
      <vt:lpstr>مانگانه‌</vt:lpstr>
      <vt:lpstr>regression</vt:lpstr>
      <vt:lpstr>man-kendall+slope</vt:lpstr>
      <vt:lpstr>REG</vt:lpstr>
      <vt:lpstr>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2026-08-31T14:54:54Z</dcterms:modified>
</cp:coreProperties>
</file>